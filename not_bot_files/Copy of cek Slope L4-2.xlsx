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-birra/Documents/Cahyo/"/>
    </mc:Choice>
  </mc:AlternateContent>
  <xr:revisionPtr revIDLastSave="0" documentId="8_{6BD8DF16-99CD-9D40-B322-8E84E266994B}" xr6:coauthVersionLast="47" xr6:coauthVersionMax="47" xr10:uidLastSave="{00000000-0000-0000-0000-000000000000}"/>
  <bookViews>
    <workbookView xWindow="160" yWindow="680" windowWidth="14180" windowHeight="16180" xr2:uid="{995DC16A-E203-47A5-B78E-32BA0BD26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G16" i="1"/>
  <c r="J7" i="1"/>
  <c r="D2" i="1"/>
  <c r="C17" i="1"/>
  <c r="J2" i="1"/>
  <c r="L2" i="1" s="1"/>
  <c r="K2" i="1"/>
  <c r="G2" i="1"/>
  <c r="H2" i="1" l="1"/>
  <c r="C16" i="1" l="1"/>
  <c r="C2" i="1"/>
  <c r="D10" i="1" l="1"/>
  <c r="D9" i="1"/>
  <c r="D8" i="1"/>
  <c r="D7" i="1"/>
  <c r="D6" i="1"/>
  <c r="D5" i="1"/>
  <c r="D4" i="1"/>
  <c r="D3" i="1"/>
  <c r="C11" i="1"/>
  <c r="C10" i="1"/>
  <c r="C9" i="1"/>
  <c r="C8" i="1"/>
  <c r="C7" i="1"/>
  <c r="C6" i="1"/>
  <c r="C5" i="1"/>
  <c r="C4" i="1"/>
  <c r="C3" i="1"/>
  <c r="H3" i="1" l="1"/>
  <c r="D16" i="1"/>
  <c r="J6" i="1" s="1"/>
  <c r="Q16" i="1"/>
  <c r="G10" i="1"/>
  <c r="H10" i="1"/>
  <c r="G3" i="1"/>
  <c r="H4" i="1"/>
  <c r="G4" i="1"/>
  <c r="G5" i="1"/>
  <c r="H5" i="1"/>
  <c r="H6" i="1"/>
  <c r="G6" i="1"/>
  <c r="H7" i="1"/>
  <c r="G7" i="1"/>
  <c r="G11" i="1"/>
  <c r="H11" i="1"/>
  <c r="H8" i="1"/>
  <c r="G8" i="1"/>
  <c r="H9" i="1"/>
  <c r="G9" i="1"/>
  <c r="H16" i="1" l="1"/>
  <c r="K6" i="1" s="1"/>
  <c r="L6" i="1" s="1"/>
  <c r="K9" i="1" s="1"/>
  <c r="K1" i="1"/>
  <c r="D17" i="1"/>
  <c r="E2" i="1" s="1"/>
  <c r="F2" i="1" s="1"/>
  <c r="Q18" i="1"/>
  <c r="Q17" i="1"/>
  <c r="P17" i="1"/>
  <c r="P18" i="1" s="1"/>
  <c r="K7" i="1"/>
  <c r="J1" i="1" l="1"/>
  <c r="L1" i="1" s="1"/>
  <c r="K4" i="1" s="1"/>
  <c r="M2" i="1" s="1"/>
  <c r="E4" i="1"/>
  <c r="F4" i="1" s="1"/>
  <c r="E3" i="1"/>
  <c r="F3" i="1" s="1"/>
  <c r="E10" i="1"/>
  <c r="F10" i="1" s="1"/>
  <c r="E8" i="1"/>
  <c r="F8" i="1" s="1"/>
  <c r="E11" i="1"/>
  <c r="F11" i="1" s="1"/>
  <c r="E9" i="1"/>
  <c r="F9" i="1" s="1"/>
  <c r="E6" i="1"/>
  <c r="F6" i="1" s="1"/>
  <c r="E5" i="1"/>
  <c r="F5" i="1" s="1"/>
  <c r="E7" i="1"/>
  <c r="F7" i="1" s="1"/>
  <c r="L7" i="1"/>
  <c r="N2" i="1" l="1"/>
  <c r="O2" i="1"/>
  <c r="Q2" i="1" s="1"/>
  <c r="P2" i="1"/>
  <c r="R2" i="1" s="1"/>
  <c r="N3" i="1"/>
  <c r="O7" i="1"/>
  <c r="Q7" i="1" s="1"/>
  <c r="N10" i="1"/>
  <c r="O11" i="1"/>
  <c r="Q11" i="1" s="1"/>
  <c r="O8" i="1"/>
  <c r="Q8" i="1" s="1"/>
  <c r="O6" i="1"/>
  <c r="Q6" i="1" s="1"/>
  <c r="S6" i="1" s="1"/>
  <c r="N8" i="1"/>
  <c r="N6" i="1"/>
  <c r="O9" i="1"/>
  <c r="Q9" i="1" s="1"/>
  <c r="S9" i="1" s="1"/>
  <c r="O5" i="1"/>
  <c r="Q5" i="1" s="1"/>
  <c r="S5" i="1" s="1"/>
  <c r="N7" i="1"/>
  <c r="N4" i="1"/>
  <c r="P11" i="1"/>
  <c r="R11" i="1" s="1"/>
  <c r="O4" i="1"/>
  <c r="Q4" i="1" s="1"/>
  <c r="P6" i="1"/>
  <c r="R6" i="1" s="1"/>
  <c r="P10" i="1"/>
  <c r="R10" i="1" s="1"/>
  <c r="O3" i="1"/>
  <c r="Q3" i="1" s="1"/>
  <c r="N11" i="1"/>
  <c r="P5" i="1"/>
  <c r="R5" i="1" s="1"/>
  <c r="P3" i="1"/>
  <c r="R3" i="1" s="1"/>
  <c r="P9" i="1"/>
  <c r="R9" i="1" s="1"/>
  <c r="N5" i="1"/>
  <c r="P8" i="1"/>
  <c r="R8" i="1" s="1"/>
  <c r="P7" i="1"/>
  <c r="R7" i="1" s="1"/>
  <c r="N9" i="1"/>
  <c r="P4" i="1"/>
  <c r="R4" i="1" s="1"/>
  <c r="O10" i="1"/>
  <c r="Q10" i="1" s="1"/>
  <c r="S10" i="1" s="1"/>
  <c r="F16" i="1"/>
  <c r="F17" i="1" s="1"/>
  <c r="O25" i="1" l="1"/>
  <c r="O24" i="1"/>
  <c r="T5" i="1"/>
  <c r="R24" i="1"/>
  <c r="S8" i="1"/>
  <c r="S11" i="1"/>
  <c r="O29" i="1"/>
  <c r="R29" i="1"/>
  <c r="T10" i="1"/>
  <c r="O27" i="1"/>
  <c r="O30" i="1"/>
  <c r="P34" i="1"/>
  <c r="S7" i="1"/>
  <c r="O23" i="1"/>
  <c r="S3" i="1"/>
  <c r="O22" i="1"/>
  <c r="O28" i="1"/>
  <c r="T6" i="1"/>
  <c r="R25" i="1"/>
  <c r="S2" i="1"/>
  <c r="T9" i="1"/>
  <c r="R28" i="1"/>
  <c r="S4" i="1"/>
  <c r="O26" i="1" l="1"/>
  <c r="R26" i="1"/>
  <c r="T7" i="1"/>
  <c r="T3" i="1"/>
  <c r="R22" i="1"/>
  <c r="T11" i="1"/>
  <c r="R30" i="1"/>
  <c r="S34" i="1"/>
  <c r="T8" i="1"/>
  <c r="R27" i="1"/>
  <c r="T4" i="1"/>
  <c r="R23" i="1"/>
  <c r="O21" i="1"/>
  <c r="P35" i="1" s="1"/>
  <c r="T21" i="1" s="1"/>
  <c r="R21" i="1"/>
  <c r="S35" i="1" s="1"/>
  <c r="W21" i="1" s="1"/>
  <c r="T2" i="1"/>
</calcChain>
</file>

<file path=xl/sharedStrings.xml><?xml version="1.0" encoding="utf-8"?>
<sst xmlns="http://schemas.openxmlformats.org/spreadsheetml/2006/main" count="21" uniqueCount="18">
  <si>
    <t>Tegangan (V)</t>
  </si>
  <si>
    <t>Ln I</t>
  </si>
  <si>
    <t>Ln V</t>
  </si>
  <si>
    <t>n</t>
  </si>
  <si>
    <t>k</t>
  </si>
  <si>
    <t>(I)^2</t>
  </si>
  <si>
    <t>(V)^2</t>
  </si>
  <si>
    <t>+</t>
  </si>
  <si>
    <t>Delta k</t>
  </si>
  <si>
    <t>Jumlah</t>
  </si>
  <si>
    <t>Ketidakpastian</t>
  </si>
  <si>
    <t>-</t>
  </si>
  <si>
    <t xml:space="preserve">rata" </t>
  </si>
  <si>
    <t>x-x'</t>
  </si>
  <si>
    <t>(x-x')^2</t>
  </si>
  <si>
    <t>x^2</t>
  </si>
  <si>
    <t>xy</t>
  </si>
  <si>
    <t>Lampu 1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</si>
</sst>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Sheet1!$D$2:$D$15</c:f>
              <c:numCache>
                <c:formatCode>General</c:formatCode>
                <c:ptCount val="14"/>
                <c:pt idx="0">
                  <c:v>0.18232155679395459</c:v>
                </c:pt>
                <c:pt idx="1">
                  <c:v>0.26236426446749106</c:v>
                </c:pt>
                <c:pt idx="2">
                  <c:v>0.33647223662121289</c:v>
                </c:pt>
                <c:pt idx="3">
                  <c:v>0.40546510810816438</c:v>
                </c:pt>
                <c:pt idx="4">
                  <c:v>0.47000362924573563</c:v>
                </c:pt>
                <c:pt idx="5">
                  <c:v>0.53062825106217038</c:v>
                </c:pt>
                <c:pt idx="6">
                  <c:v>0.58778666490211906</c:v>
                </c:pt>
                <c:pt idx="7">
                  <c:v>0.64185388617239469</c:v>
                </c:pt>
                <c:pt idx="8">
                  <c:v>0.69314718055994529</c:v>
                </c:pt>
                <c:pt idx="9">
                  <c:v>0.69314718055994529</c:v>
                </c:pt>
              </c:numCache>
            </c:numRef>
          </c:xVal>
          <c:yVal>
            <c:numRef>
              <c:f>Sheet1!$C$2:$C$15</c:f>
              <c:numCache>
                <c:formatCode>General</c:formatCode>
                <c:ptCount val="14"/>
                <c:pt idx="0">
                  <c:v>0.91629073187415511</c:v>
                </c:pt>
                <c:pt idx="1">
                  <c:v>1.0986122886681098</c:v>
                </c:pt>
                <c:pt idx="2">
                  <c:v>1.2527629684953681</c:v>
                </c:pt>
                <c:pt idx="3">
                  <c:v>1.3862943611198906</c:v>
                </c:pt>
                <c:pt idx="4">
                  <c:v>1.5040773967762742</c:v>
                </c:pt>
                <c:pt idx="5">
                  <c:v>1.6094379124341003</c:v>
                </c:pt>
                <c:pt idx="6">
                  <c:v>1.7047480922384253</c:v>
                </c:pt>
                <c:pt idx="7">
                  <c:v>1.791759469228055</c:v>
                </c:pt>
                <c:pt idx="8">
                  <c:v>1.8718021769015913</c:v>
                </c:pt>
                <c:pt idx="9">
                  <c:v>1.9459101490553132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2B-43CF-9A41-133B5B12B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193184"/>
        <c:axId val="1478245488"/>
      </c:scatterChart>
      <c:valAx>
        <c:axId val="148619318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245488"/>
        <c:crosses val="autoZero"/>
        <c:crossBetween val="midCat"/>
      </c:valAx>
      <c:valAx>
        <c:axId val="147824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</a:t>
            </a:r>
            <a:r>
              <a:rPr lang="en-US" baseline="0"/>
              <a:t> Analisis Lampu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88500"/>
                  </a:schemeClr>
                </a:solidFill>
                <a:round/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2.5</c:v>
                </c:pt>
                <c:pt idx="1">
                  <c:v>3</c:v>
                </c:pt>
                <c:pt idx="2">
                  <c:v>3.5</c:v>
                </c:pt>
                <c:pt idx="3">
                  <c:v>4</c:v>
                </c:pt>
                <c:pt idx="4">
                  <c:v>4.5</c:v>
                </c:pt>
                <c:pt idx="5">
                  <c:v>5</c:v>
                </c:pt>
                <c:pt idx="6">
                  <c:v>5.5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</c:numCache>
            </c:numRef>
          </c:xVal>
          <c:yVal>
            <c:numRef>
              <c:f>Sheet1!$B$2:$B$15</c:f>
              <c:numCache>
                <c:formatCode>General</c:formatCode>
                <c:ptCount val="14"/>
                <c:pt idx="0">
                  <c:v>1.2</c:v>
                </c:pt>
                <c:pt idx="1">
                  <c:v>1.3</c:v>
                </c:pt>
                <c:pt idx="2">
                  <c:v>1.4</c:v>
                </c:pt>
                <c:pt idx="3">
                  <c:v>1.5</c:v>
                </c:pt>
                <c:pt idx="4">
                  <c:v>1.6</c:v>
                </c:pt>
                <c:pt idx="5">
                  <c:v>1.7</c:v>
                </c:pt>
                <c:pt idx="6">
                  <c:v>1.8</c:v>
                </c:pt>
                <c:pt idx="7">
                  <c:v>1.9</c:v>
                </c:pt>
                <c:pt idx="8">
                  <c:v>2</c:v>
                </c:pt>
                <c:pt idx="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40-4BFA-BEFD-DFF370832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136032"/>
        <c:axId val="1230164512"/>
      </c:scatterChart>
      <c:valAx>
        <c:axId val="116113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Arus</a:t>
                </a:r>
              </a:p>
            </c:rich>
          </c:tx>
          <c:layout>
            <c:manualLayout>
              <c:xMode val="edge"/>
              <c:yMode val="edge"/>
              <c:x val="0.51313757655293102"/>
              <c:y val="0.86942111402741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164512"/>
        <c:crosses val="autoZero"/>
        <c:crossBetween val="midCat"/>
      </c:valAx>
      <c:valAx>
        <c:axId val="123016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Tegangan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3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 Analisis Lampu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Lampu 1 (A)</c:v>
                </c:pt>
              </c:strCache>
            </c:strRef>
          </c:tx>
          <c:spPr>
            <a:ln w="952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88500"/>
                  </a:schemeClr>
                </a:solidFill>
                <a:round/>
              </a:ln>
              <a:effectLst/>
            </c:spPr>
          </c:marker>
          <c:xVal>
            <c:numRef>
              <c:f>Sheet1!$B$2:$B$15</c:f>
              <c:numCache>
                <c:formatCode>General</c:formatCode>
                <c:ptCount val="14"/>
                <c:pt idx="0">
                  <c:v>1.2</c:v>
                </c:pt>
                <c:pt idx="1">
                  <c:v>1.3</c:v>
                </c:pt>
                <c:pt idx="2">
                  <c:v>1.4</c:v>
                </c:pt>
                <c:pt idx="3">
                  <c:v>1.5</c:v>
                </c:pt>
                <c:pt idx="4">
                  <c:v>1.6</c:v>
                </c:pt>
                <c:pt idx="5">
                  <c:v>1.7</c:v>
                </c:pt>
                <c:pt idx="6">
                  <c:v>1.8</c:v>
                </c:pt>
                <c:pt idx="7">
                  <c:v>1.9</c:v>
                </c:pt>
                <c:pt idx="8">
                  <c:v>2</c:v>
                </c:pt>
                <c:pt idx="9">
                  <c:v>2</c:v>
                </c:pt>
              </c:numCache>
            </c:numRef>
          </c:xVal>
          <c:yVal>
            <c:numRef>
              <c:f>Sheet1!$A$2:$A$15</c:f>
              <c:numCache>
                <c:formatCode>General</c:formatCode>
                <c:ptCount val="14"/>
                <c:pt idx="0">
                  <c:v>2.5</c:v>
                </c:pt>
                <c:pt idx="1">
                  <c:v>3</c:v>
                </c:pt>
                <c:pt idx="2">
                  <c:v>3.5</c:v>
                </c:pt>
                <c:pt idx="3">
                  <c:v>4</c:v>
                </c:pt>
                <c:pt idx="4">
                  <c:v>4.5</c:v>
                </c:pt>
                <c:pt idx="5">
                  <c:v>5</c:v>
                </c:pt>
                <c:pt idx="6">
                  <c:v>5.5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A7-4AE9-8F06-B128B6C24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594448"/>
        <c:axId val="1239435392"/>
      </c:scatterChart>
      <c:valAx>
        <c:axId val="123359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Tegangan</a:t>
                </a:r>
              </a:p>
            </c:rich>
          </c:tx>
          <c:layout>
            <c:manualLayout>
              <c:xMode val="edge"/>
              <c:yMode val="edge"/>
              <c:x val="0.47988079615048118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35392"/>
        <c:crosses val="autoZero"/>
        <c:crossBetween val="midCat"/>
      </c:valAx>
      <c:valAx>
        <c:axId val="12394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59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 SLope Lampu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33114610673665"/>
          <c:y val="0.16708333333333336"/>
          <c:w val="0.81418285214348207"/>
          <c:h val="0.70696741032370958"/>
        </c:manualLayout>
      </c:layout>
      <c:scatterChart>
        <c:scatterStyle val="lineMarker"/>
        <c:varyColors val="0"/>
        <c:ser>
          <c:idx val="0"/>
          <c:order val="0"/>
          <c:tx>
            <c:v>Slope Best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88500"/>
                  </a:schemeClr>
                </a:solidFill>
                <a:round/>
              </a:ln>
              <a:effectLst/>
            </c:spPr>
          </c:marker>
          <c:dLbls>
            <c:delete val="1"/>
          </c:dLbls>
          <c:trendline>
            <c:spPr>
              <a:ln w="9525" cap="rnd">
                <a:solidFill>
                  <a:schemeClr val="dk1">
                    <a:tint val="885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dk1">
                    <a:tint val="885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dk1">
                    <a:tint val="88500"/>
                  </a:schemeClr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199146981627296"/>
                  <c:y val="-3.51698745990084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(Sheet1!$D$2,Sheet1!$D$11)</c:f>
              <c:numCache>
                <c:formatCode>General</c:formatCode>
                <c:ptCount val="2"/>
                <c:pt idx="0">
                  <c:v>0.18232155679395459</c:v>
                </c:pt>
                <c:pt idx="1">
                  <c:v>0.69314718055994529</c:v>
                </c:pt>
              </c:numCache>
            </c:numRef>
          </c:xVal>
          <c:yVal>
            <c:numRef>
              <c:f>(Sheet1!$C$2,Sheet1!$C$11)</c:f>
              <c:numCache>
                <c:formatCode>General</c:formatCode>
                <c:ptCount val="2"/>
                <c:pt idx="0">
                  <c:v>0.91629073187415511</c:v>
                </c:pt>
                <c:pt idx="1">
                  <c:v>1.9459101490553132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C8-4240-A905-80CCEFA4FAF3}"/>
            </c:ext>
          </c:extLst>
        </c:ser>
        <c:ser>
          <c:idx val="1"/>
          <c:order val="1"/>
          <c:tx>
            <c:v>Slope 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5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dk1">
                    <a:tint val="55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FF00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(Sheet1!$D$2,Sheet1!$D$11)</c:f>
              <c:numCache>
                <c:formatCode>General</c:formatCode>
                <c:ptCount val="2"/>
                <c:pt idx="0">
                  <c:v>0.18232155679395459</c:v>
                </c:pt>
                <c:pt idx="1">
                  <c:v>0.69314718055994529</c:v>
                </c:pt>
              </c:numCache>
            </c:numRef>
          </c:xVal>
          <c:yVal>
            <c:numRef>
              <c:f>(Sheet1!$P$18,Sheet1!$Q$17)</c:f>
              <c:numCache>
                <c:formatCode>General</c:formatCode>
                <c:ptCount val="2"/>
                <c:pt idx="0">
                  <c:v>-0.18057736240295807</c:v>
                </c:pt>
                <c:pt idx="1">
                  <c:v>2.1264875114582713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C8-4240-A905-80CCEFA4FAF3}"/>
            </c:ext>
          </c:extLst>
        </c:ser>
        <c:ser>
          <c:idx val="2"/>
          <c:order val="2"/>
          <c:tx>
            <c:v>Slope Min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7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7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7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7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dk1">
                    <a:tint val="75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rgbClr val="00B050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(Sheet1!$D$2,Sheet1!$D$11)</c:f>
              <c:numCache>
                <c:formatCode>General</c:formatCode>
                <c:ptCount val="2"/>
                <c:pt idx="0">
                  <c:v>0.18232155679395459</c:v>
                </c:pt>
                <c:pt idx="1">
                  <c:v>0.69314718055994529</c:v>
                </c:pt>
              </c:numCache>
            </c:numRef>
          </c:xVal>
          <c:yVal>
            <c:numRef>
              <c:f>(Sheet1!$P$17,Sheet1!$Q$18)</c:f>
              <c:numCache>
                <c:formatCode>General</c:formatCode>
                <c:ptCount val="2"/>
                <c:pt idx="0">
                  <c:v>1.0968680942771132</c:v>
                </c:pt>
                <c:pt idx="1">
                  <c:v>1.7653327866523552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C8-4240-A905-80CCEFA4FAF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30694000"/>
        <c:axId val="1163504736"/>
      </c:scatterChart>
      <c:valAx>
        <c:axId val="133069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504736"/>
        <c:crosses val="autoZero"/>
        <c:crossBetween val="midCat"/>
      </c:valAx>
      <c:valAx>
        <c:axId val="116350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69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chart" Target="../charts/chart1.xm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chart" Target="../charts/chart4.xml"/><Relationship Id="rId4" Type="http://schemas.openxmlformats.org/officeDocument/2006/relationships/image" Target="../media/image3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14</xdr:col>
      <xdr:colOff>171450</xdr:colOff>
      <xdr:row>0</xdr:row>
      <xdr:rowOff>352425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CE20D97-584C-48C5-B587-85BD130A3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0"/>
          <a:ext cx="17145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0</xdr:row>
      <xdr:rowOff>0</xdr:rowOff>
    </xdr:from>
    <xdr:to>
      <xdr:col>15</xdr:col>
      <xdr:colOff>180975</xdr:colOff>
      <xdr:row>0</xdr:row>
      <xdr:rowOff>352425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5B12CDD-6C5C-443D-8A68-4DA7FC527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0" y="0"/>
          <a:ext cx="18097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123825</xdr:colOff>
      <xdr:row>0</xdr:row>
      <xdr:rowOff>0</xdr:rowOff>
    </xdr:from>
    <xdr:to>
      <xdr:col>27</xdr:col>
      <xdr:colOff>428625</xdr:colOff>
      <xdr:row>12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DAC3C1-6372-413E-A255-DFAB45BE3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133350</xdr:colOff>
      <xdr:row>16</xdr:row>
      <xdr:rowOff>114300</xdr:rowOff>
    </xdr:from>
    <xdr:to>
      <xdr:col>15</xdr:col>
      <xdr:colOff>104775</xdr:colOff>
      <xdr:row>19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45D12-515B-469F-8919-B07CBC783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24250"/>
          <a:ext cx="581025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590550</xdr:colOff>
      <xdr:row>16</xdr:row>
      <xdr:rowOff>66675</xdr:rowOff>
    </xdr:from>
    <xdr:to>
      <xdr:col>17</xdr:col>
      <xdr:colOff>561975</xdr:colOff>
      <xdr:row>19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7EC1C47-6299-4485-9084-A21408407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476625"/>
          <a:ext cx="581025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57150</xdr:colOff>
      <xdr:row>16</xdr:row>
      <xdr:rowOff>9525</xdr:rowOff>
    </xdr:from>
    <xdr:to>
      <xdr:col>20</xdr:col>
      <xdr:colOff>419100</xdr:colOff>
      <xdr:row>19</xdr:row>
      <xdr:rowOff>66675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32F8CA3-73B4-42AA-920A-4B2E402C8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0" y="3419475"/>
          <a:ext cx="97155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180975</xdr:colOff>
      <xdr:row>15</xdr:row>
      <xdr:rowOff>57150</xdr:rowOff>
    </xdr:from>
    <xdr:to>
      <xdr:col>24</xdr:col>
      <xdr:colOff>142875</xdr:colOff>
      <xdr:row>19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9155535-9115-43A3-B91A-BBC490F0D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3276600"/>
          <a:ext cx="11811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419389</xdr:colOff>
      <xdr:row>7</xdr:row>
      <xdr:rowOff>192039</xdr:rowOff>
    </xdr:from>
    <xdr:to>
      <xdr:col>29</xdr:col>
      <xdr:colOff>114589</xdr:colOff>
      <xdr:row>21</xdr:row>
      <xdr:rowOff>181071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EC55E-2C37-4CA3-9BFD-1A6EB3C07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71870</xdr:colOff>
      <xdr:row>19</xdr:row>
      <xdr:rowOff>127721</xdr:rowOff>
    </xdr:from>
    <xdr:to>
      <xdr:col>12</xdr:col>
      <xdr:colOff>373206</xdr:colOff>
      <xdr:row>34</xdr:row>
      <xdr:rowOff>3318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EEF32D-70C3-409D-95D7-67F61F32B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159102</xdr:colOff>
      <xdr:row>21</xdr:row>
      <xdr:rowOff>64142</xdr:rowOff>
    </xdr:from>
    <xdr:to>
      <xdr:col>27</xdr:col>
      <xdr:colOff>524836</xdr:colOff>
      <xdr:row>35</xdr:row>
      <xdr:rowOff>130144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95D4FC5-54D6-4D98-A105-4D0D63F07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44902-090A-46A6-A787-7B4C77FA158A}">
  <dimension ref="A1:W35"/>
  <sheetViews>
    <sheetView tabSelected="1" topLeftCell="A7" zoomScale="99" workbookViewId="0">
      <selection activeCell="J6" sqref="J6"/>
    </sheetView>
  </sheetViews>
  <sheetFormatPr baseColWidth="10" defaultColWidth="8.83203125" defaultRowHeight="15" x14ac:dyDescent="0.2"/>
  <cols>
    <col min="5" max="5" width="8.5" customWidth="1"/>
    <col min="6" max="6" width="9.83203125" customWidth="1"/>
    <col min="7" max="7" width="8.5" customWidth="1"/>
  </cols>
  <sheetData>
    <row r="1" spans="1:20" ht="34" x14ac:dyDescent="0.2">
      <c r="A1" s="1" t="s">
        <v>0</v>
      </c>
      <c r="B1" s="1" t="s">
        <v>17</v>
      </c>
      <c r="C1" s="1" t="s">
        <v>2</v>
      </c>
      <c r="D1" s="1" t="s">
        <v>1</v>
      </c>
      <c r="E1" t="s">
        <v>13</v>
      </c>
      <c r="F1" t="s">
        <v>14</v>
      </c>
      <c r="G1" t="s">
        <v>15</v>
      </c>
      <c r="H1" t="s">
        <v>16</v>
      </c>
      <c r="I1" s="1"/>
      <c r="J1">
        <f>10*H16</f>
        <v>77.981576775202583</v>
      </c>
      <c r="K1">
        <f>C16*D16</f>
        <v>72.440248607398502</v>
      </c>
      <c r="L1">
        <f>J1-K1</f>
        <v>5.5413281678040818</v>
      </c>
      <c r="M1" t="s">
        <v>3</v>
      </c>
      <c r="N1" s="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t="16" x14ac:dyDescent="0.2">
      <c r="A2" s="1">
        <v>2.5</v>
      </c>
      <c r="B2">
        <v>1.2</v>
      </c>
      <c r="C2">
        <f>LN(A2)</f>
        <v>0.91629073187415511</v>
      </c>
      <c r="D2">
        <f>LN(B2)</f>
        <v>0.18232155679395459</v>
      </c>
      <c r="E2">
        <f>D2-D17</f>
        <v>-0.2979974390553588</v>
      </c>
      <c r="F2">
        <f>E2^2</f>
        <v>8.8802473683552291E-2</v>
      </c>
      <c r="G2">
        <f>C2^2</f>
        <v>0.83958870531847485</v>
      </c>
      <c r="H2">
        <f>C2*D2</f>
        <v>0.16705955271116799</v>
      </c>
      <c r="J2">
        <f>10*G16</f>
        <v>237.97081737719679</v>
      </c>
      <c r="K2">
        <f>C16^2</f>
        <v>227.45754056610406</v>
      </c>
      <c r="L2">
        <f>J2-K2</f>
        <v>10.513276811092737</v>
      </c>
      <c r="M2">
        <f>K4</f>
        <v>0.52707907033869139</v>
      </c>
      <c r="N2">
        <f>A2/(B2)^M2</f>
        <v>2.2709377574963412</v>
      </c>
      <c r="O2">
        <f>1/(B2)^M2</f>
        <v>0.90837510299853652</v>
      </c>
      <c r="P2">
        <f>-(M2*A2)/(B2^(M2-1))</f>
        <v>-1.4363565144218449</v>
      </c>
      <c r="Q2">
        <f t="shared" ref="Q2:Q11" si="0">(O2*0.1)^2</f>
        <v>8.2514532774760185E-3</v>
      </c>
      <c r="R2">
        <f t="shared" ref="R2:R11" si="1">(P2*0.25)^2</f>
        <v>0.12894500228262948</v>
      </c>
      <c r="S2">
        <f t="shared" ref="S2:S11" si="2">Q2+R2</f>
        <v>0.13719645556010548</v>
      </c>
      <c r="T2">
        <f t="shared" ref="T2:T11" si="3">SQRT(S2)</f>
        <v>0.37040039897400961</v>
      </c>
    </row>
    <row r="3" spans="1:20" ht="16" x14ac:dyDescent="0.2">
      <c r="A3" s="1">
        <v>3</v>
      </c>
      <c r="B3">
        <v>1.3</v>
      </c>
      <c r="C3">
        <f t="shared" ref="C3:C11" si="4">LN(A3)</f>
        <v>1.0986122886681098</v>
      </c>
      <c r="D3">
        <f t="shared" ref="D3:D10" si="5">LN(B3)</f>
        <v>0.26236426446749106</v>
      </c>
      <c r="E3">
        <f>D3-D17</f>
        <v>-0.21795473138182231</v>
      </c>
      <c r="F3">
        <f t="shared" ref="F3:F11" si="6">E3^2</f>
        <v>4.7504264931722322E-2</v>
      </c>
      <c r="G3">
        <f t="shared" ref="G3:G11" si="7">C3^2</f>
        <v>1.2069489608125821</v>
      </c>
      <c r="H3">
        <f>C3*D3</f>
        <v>0.28823660505135557</v>
      </c>
      <c r="N3">
        <f>A3/(B3)^M2</f>
        <v>2.6125469177119931</v>
      </c>
      <c r="O3">
        <f>1/(B3)^M2</f>
        <v>0.87084897257066429</v>
      </c>
      <c r="P3">
        <f>-(M2*A3)/(B3^(M2-1))</f>
        <v>-1.7901244407850061</v>
      </c>
      <c r="Q3">
        <f t="shared" si="0"/>
        <v>7.5837793302738167E-3</v>
      </c>
      <c r="R3">
        <f t="shared" si="1"/>
        <v>0.20028409459348942</v>
      </c>
      <c r="S3">
        <f t="shared" si="2"/>
        <v>0.20786787392376324</v>
      </c>
      <c r="T3">
        <f t="shared" si="3"/>
        <v>0.45592529423553946</v>
      </c>
    </row>
    <row r="4" spans="1:20" ht="16" x14ac:dyDescent="0.2">
      <c r="A4" s="1">
        <v>3.5</v>
      </c>
      <c r="B4">
        <v>1.4</v>
      </c>
      <c r="C4">
        <f t="shared" si="4"/>
        <v>1.2527629684953681</v>
      </c>
      <c r="D4">
        <f t="shared" si="5"/>
        <v>0.33647223662121289</v>
      </c>
      <c r="E4">
        <f>D4-D17</f>
        <v>-0.14384675922810047</v>
      </c>
      <c r="F4">
        <f t="shared" si="6"/>
        <v>2.0691890140427108E-2</v>
      </c>
      <c r="G4">
        <f t="shared" si="7"/>
        <v>1.5694150552333266</v>
      </c>
      <c r="H4">
        <f t="shared" ref="H4:H11" si="8">C4*D4</f>
        <v>0.42151995796586655</v>
      </c>
      <c r="K4">
        <f>L1/L2</f>
        <v>0.52707907033869139</v>
      </c>
      <c r="N4">
        <f>A4/(B4)^M2</f>
        <v>2.9312105503592685</v>
      </c>
      <c r="O4">
        <f>1/(B4)^M2</f>
        <v>0.83748872867407675</v>
      </c>
      <c r="P4">
        <f>-(M2*A4)/(B4^(M2-1))</f>
        <v>-2.1629716245904578</v>
      </c>
      <c r="Q4">
        <f t="shared" si="0"/>
        <v>7.0138737065612135E-3</v>
      </c>
      <c r="R4">
        <f t="shared" si="1"/>
        <v>0.29240289054896779</v>
      </c>
      <c r="S4">
        <f t="shared" si="2"/>
        <v>0.29941676425552899</v>
      </c>
      <c r="T4">
        <f t="shared" si="3"/>
        <v>0.54718987952586351</v>
      </c>
    </row>
    <row r="5" spans="1:20" ht="16" x14ac:dyDescent="0.2">
      <c r="A5" s="1">
        <v>4</v>
      </c>
      <c r="B5">
        <v>1.5</v>
      </c>
      <c r="C5">
        <f t="shared" si="4"/>
        <v>1.3862943611198906</v>
      </c>
      <c r="D5">
        <f t="shared" si="5"/>
        <v>0.40546510810816438</v>
      </c>
      <c r="E5">
        <f>D5-D17</f>
        <v>-7.4853887741148983E-2</v>
      </c>
      <c r="F5">
        <f t="shared" si="6"/>
        <v>5.6031045099645344E-3</v>
      </c>
      <c r="G5">
        <f t="shared" si="7"/>
        <v>1.9218120556728056</v>
      </c>
      <c r="H5">
        <f t="shared" si="8"/>
        <v>0.5620939930012151</v>
      </c>
      <c r="N5">
        <f>A5/(B5)^M2</f>
        <v>3.2303231829931645</v>
      </c>
      <c r="O5">
        <f>1/(B5)^M2</f>
        <v>0.80758079574829111</v>
      </c>
      <c r="P5">
        <f>-(M2*A5)/(B5^(M2-1))</f>
        <v>-2.5539536102783389</v>
      </c>
      <c r="Q5">
        <f t="shared" si="0"/>
        <v>6.5218674166144311E-3</v>
      </c>
      <c r="R5">
        <f t="shared" si="1"/>
        <v>0.4076674402158601</v>
      </c>
      <c r="S5">
        <f t="shared" si="2"/>
        <v>0.41418930763247452</v>
      </c>
      <c r="T5">
        <f t="shared" si="3"/>
        <v>0.64357540943736691</v>
      </c>
    </row>
    <row r="6" spans="1:20" ht="16" x14ac:dyDescent="0.2">
      <c r="A6" s="1">
        <v>4.5</v>
      </c>
      <c r="B6">
        <v>1.6</v>
      </c>
      <c r="C6">
        <f t="shared" si="4"/>
        <v>1.5040773967762742</v>
      </c>
      <c r="D6">
        <f t="shared" si="5"/>
        <v>0.47000362924573563</v>
      </c>
      <c r="E6">
        <f>D6-D17</f>
        <v>-1.0315366603577736E-2</v>
      </c>
      <c r="F6">
        <f t="shared" si="6"/>
        <v>1.0640678816620687E-4</v>
      </c>
      <c r="G6">
        <f t="shared" si="7"/>
        <v>2.2622488154932938</v>
      </c>
      <c r="H6">
        <f t="shared" si="8"/>
        <v>0.70692183515132712</v>
      </c>
      <c r="J6">
        <f>D16*G16</f>
        <v>114.30190404405549</v>
      </c>
      <c r="K6">
        <f>C16*H16</f>
        <v>117.60943991823355</v>
      </c>
      <c r="L6">
        <f>J6-K6</f>
        <v>-3.3075358741780576</v>
      </c>
      <c r="N6">
        <f>A6/(B6)^M2</f>
        <v>3.5125712558518716</v>
      </c>
      <c r="O6">
        <f>1/(B6)^M2</f>
        <v>0.78057139018930477</v>
      </c>
      <c r="P6">
        <f>-(M2*A6)/(B6^(M2-1))</f>
        <v>-2.962244467252503</v>
      </c>
      <c r="Q6">
        <f t="shared" si="0"/>
        <v>6.0929169518206391E-3</v>
      </c>
      <c r="R6">
        <f t="shared" si="1"/>
        <v>0.54843076773550403</v>
      </c>
      <c r="S6">
        <f t="shared" si="2"/>
        <v>0.55452368468732471</v>
      </c>
      <c r="T6">
        <f t="shared" si="3"/>
        <v>0.74466347076201123</v>
      </c>
    </row>
    <row r="7" spans="1:20" ht="16" x14ac:dyDescent="0.2">
      <c r="A7" s="1">
        <v>5</v>
      </c>
      <c r="B7">
        <v>1.7</v>
      </c>
      <c r="C7">
        <f t="shared" si="4"/>
        <v>1.6094379124341003</v>
      </c>
      <c r="D7">
        <f t="shared" si="5"/>
        <v>0.53062825106217038</v>
      </c>
      <c r="E7">
        <f>D7-D17</f>
        <v>5.0309255212857007E-2</v>
      </c>
      <c r="F7">
        <f t="shared" si="6"/>
        <v>2.5310211600723799E-3</v>
      </c>
      <c r="G7">
        <f t="shared" si="7"/>
        <v>2.5902903939802346</v>
      </c>
      <c r="H7">
        <f t="shared" si="8"/>
        <v>0.85401322466805718</v>
      </c>
      <c r="J7">
        <f>10*G16</f>
        <v>237.97081737719679</v>
      </c>
      <c r="K7">
        <f>C16^2</f>
        <v>227.45754056610406</v>
      </c>
      <c r="L7">
        <f>J7-K7</f>
        <v>10.513276811092737</v>
      </c>
      <c r="N7">
        <f>A7/(B7)^M2</f>
        <v>3.7801166432906834</v>
      </c>
      <c r="O7">
        <f>1/(B7)^M2</f>
        <v>0.75602332865813671</v>
      </c>
      <c r="P7">
        <f>-(M2*A7)/(B7^(M2-1))</f>
        <v>-3.3871146223996962</v>
      </c>
      <c r="Q7">
        <f t="shared" si="0"/>
        <v>5.7157127347532916E-3</v>
      </c>
      <c r="R7">
        <f t="shared" si="1"/>
        <v>0.71703409157961473</v>
      </c>
      <c r="S7">
        <f t="shared" si="2"/>
        <v>0.72274980431436797</v>
      </c>
      <c r="T7">
        <f t="shared" si="3"/>
        <v>0.85014693101508521</v>
      </c>
    </row>
    <row r="8" spans="1:20" ht="16" x14ac:dyDescent="0.2">
      <c r="A8" s="1">
        <v>5.5</v>
      </c>
      <c r="B8">
        <v>1.8</v>
      </c>
      <c r="C8">
        <f t="shared" si="4"/>
        <v>1.7047480922384253</v>
      </c>
      <c r="D8">
        <f t="shared" si="5"/>
        <v>0.58778666490211906</v>
      </c>
      <c r="E8">
        <f>D8-D17</f>
        <v>0.10746766905280569</v>
      </c>
      <c r="F8">
        <f t="shared" si="6"/>
        <v>1.1549299891643371E-2</v>
      </c>
      <c r="G8">
        <f t="shared" si="7"/>
        <v>2.9061660579905504</v>
      </c>
      <c r="H8">
        <f t="shared" si="8"/>
        <v>1.0020281956350741</v>
      </c>
      <c r="N8">
        <f>A8/(B8)^M2</f>
        <v>4.0347245868462167</v>
      </c>
      <c r="O8">
        <f>1/(B8)^M2</f>
        <v>0.73358628851749397</v>
      </c>
      <c r="P8">
        <f>-(M2*A8)/(B8^(M2-1))</f>
        <v>-3.8279139917536158</v>
      </c>
      <c r="Q8">
        <f t="shared" si="0"/>
        <v>5.3814884270087194E-3</v>
      </c>
      <c r="R8">
        <f t="shared" si="1"/>
        <v>0.91580784551644379</v>
      </c>
      <c r="S8">
        <f t="shared" si="2"/>
        <v>0.92118933394345248</v>
      </c>
      <c r="T8">
        <f t="shared" si="3"/>
        <v>0.95978608759632089</v>
      </c>
    </row>
    <row r="9" spans="1:20" ht="16" x14ac:dyDescent="0.2">
      <c r="A9" s="1">
        <v>6</v>
      </c>
      <c r="B9">
        <v>1.9</v>
      </c>
      <c r="C9">
        <f t="shared" si="4"/>
        <v>1.791759469228055</v>
      </c>
      <c r="D9">
        <f t="shared" si="5"/>
        <v>0.64185388617239469</v>
      </c>
      <c r="E9">
        <f>D9-D17</f>
        <v>0.16153489032308133</v>
      </c>
      <c r="F9">
        <f t="shared" si="6"/>
        <v>2.6093520791689914E-2</v>
      </c>
      <c r="G9">
        <f t="shared" si="7"/>
        <v>3.2104019955684011</v>
      </c>
      <c r="H9">
        <f t="shared" si="8"/>
        <v>1.1500477784102143</v>
      </c>
      <c r="K9">
        <f>L6/L7</f>
        <v>-0.31460561094407979</v>
      </c>
      <c r="N9">
        <f>A9/(B9)^M2</f>
        <v>4.2778550165484388</v>
      </c>
      <c r="O9">
        <f>1/(B9)^M2</f>
        <v>0.71297583609140636</v>
      </c>
      <c r="P9">
        <f>-(M2*A9)/(B9^(M2-1))</f>
        <v>-4.2840589058155105</v>
      </c>
      <c r="Q9">
        <f t="shared" si="0"/>
        <v>5.0833454285023998E-3</v>
      </c>
      <c r="R9">
        <f t="shared" si="1"/>
        <v>1.1470725442810743</v>
      </c>
      <c r="S9">
        <f t="shared" si="2"/>
        <v>1.1521558897095767</v>
      </c>
      <c r="T9">
        <f t="shared" si="3"/>
        <v>1.0733852475740371</v>
      </c>
    </row>
    <row r="10" spans="1:20" ht="16" x14ac:dyDescent="0.2">
      <c r="A10" s="1">
        <v>6.5</v>
      </c>
      <c r="B10">
        <v>2</v>
      </c>
      <c r="C10">
        <f t="shared" si="4"/>
        <v>1.8718021769015913</v>
      </c>
      <c r="D10">
        <f t="shared" si="5"/>
        <v>0.69314718055994529</v>
      </c>
      <c r="E10">
        <f>D10-D17</f>
        <v>0.21282818471063192</v>
      </c>
      <c r="F10">
        <f t="shared" si="6"/>
        <v>4.5295836207222856E-2</v>
      </c>
      <c r="G10">
        <f t="shared" si="7"/>
        <v>3.5036433894535364</v>
      </c>
      <c r="H10">
        <f t="shared" si="8"/>
        <v>1.2974344014853061</v>
      </c>
      <c r="N10">
        <f>A10/(B10)^M2</f>
        <v>4.5107291087709243</v>
      </c>
      <c r="O10">
        <f>1/(B10)^M2</f>
        <v>0.69395832442629612</v>
      </c>
      <c r="P10">
        <f>-(M2*A10)/(B10^(M2-1))</f>
        <v>-4.7550218104013053</v>
      </c>
      <c r="Q10">
        <f t="shared" si="0"/>
        <v>4.8157815604055257E-3</v>
      </c>
      <c r="R10">
        <f t="shared" si="1"/>
        <v>1.4131395260870068</v>
      </c>
      <c r="S10">
        <f t="shared" si="2"/>
        <v>1.4179553076474123</v>
      </c>
      <c r="T10">
        <f t="shared" si="3"/>
        <v>1.1907792858659461</v>
      </c>
    </row>
    <row r="11" spans="1:20" ht="16" x14ac:dyDescent="0.2">
      <c r="A11" s="1">
        <v>7</v>
      </c>
      <c r="B11">
        <v>2</v>
      </c>
      <c r="C11">
        <f t="shared" si="4"/>
        <v>1.9459101490553132</v>
      </c>
      <c r="D11">
        <f>LN(B11)</f>
        <v>0.69314718055994529</v>
      </c>
      <c r="E11">
        <f>D11-D17</f>
        <v>0.21282818471063192</v>
      </c>
      <c r="F11">
        <f t="shared" si="6"/>
        <v>4.5295836207222856E-2</v>
      </c>
      <c r="G11">
        <f t="shared" si="7"/>
        <v>3.7865663081964716</v>
      </c>
      <c r="H11">
        <f t="shared" si="8"/>
        <v>1.3488021334406732</v>
      </c>
      <c r="N11">
        <f>A11/(B11)^M2</f>
        <v>4.8577082709840722</v>
      </c>
      <c r="O11">
        <f>1/(B11)^M2</f>
        <v>0.69395832442629612</v>
      </c>
      <c r="P11">
        <f>-(M2*A11)/(B11^(M2-1))</f>
        <v>-5.1207927188937132</v>
      </c>
      <c r="Q11">
        <f t="shared" si="0"/>
        <v>4.8157815604055257E-3</v>
      </c>
      <c r="R11">
        <f t="shared" si="1"/>
        <v>1.6389073793671793</v>
      </c>
      <c r="S11">
        <f t="shared" si="2"/>
        <v>1.6437231609275849</v>
      </c>
      <c r="T11">
        <f t="shared" si="3"/>
        <v>1.2820776735157604</v>
      </c>
    </row>
    <row r="12" spans="1:20" ht="16" x14ac:dyDescent="0.2">
      <c r="A12" s="1"/>
      <c r="B12" s="1"/>
    </row>
    <row r="13" spans="1:20" ht="16" x14ac:dyDescent="0.2">
      <c r="A13" s="1"/>
      <c r="B13" s="1"/>
    </row>
    <row r="14" spans="1:20" ht="16" x14ac:dyDescent="0.2">
      <c r="A14" s="1"/>
      <c r="B14" s="1"/>
    </row>
    <row r="15" spans="1:20" ht="16" x14ac:dyDescent="0.2">
      <c r="A15" s="1"/>
      <c r="B15" s="1"/>
    </row>
    <row r="16" spans="1:20" x14ac:dyDescent="0.2">
      <c r="B16" t="s">
        <v>7</v>
      </c>
      <c r="C16" s="2">
        <f>C2+C3+C4+C5+C6+C7+C8+C9+C10+C11</f>
        <v>15.081695546791284</v>
      </c>
      <c r="D16" s="2">
        <f>D2+D3+D4+D5+D6+D7+D8+D9+D10+D11</f>
        <v>4.8031899584931335</v>
      </c>
      <c r="F16" s="2">
        <f>F2+F3+F4+F5+F6+F7+F8+F9+F10+F11</f>
        <v>0.29347365431168382</v>
      </c>
      <c r="G16" s="2">
        <f>G2+G3+G4+G5+G6+G7+G8+G9+G10+G11</f>
        <v>23.797081737719679</v>
      </c>
      <c r="H16" s="2">
        <f>H2+H3+H4+H5+H6+H7+H8+H9+H10+H11</f>
        <v>7.7981576775202583</v>
      </c>
      <c r="P16" t="s">
        <v>10</v>
      </c>
      <c r="Q16">
        <f>_xlfn.STDEV.S(D2:D11)</f>
        <v>0.18057736240295816</v>
      </c>
    </row>
    <row r="17" spans="2:23" x14ac:dyDescent="0.2">
      <c r="B17" t="s">
        <v>12</v>
      </c>
      <c r="C17">
        <f>C16/10</f>
        <v>1.5081695546791285</v>
      </c>
      <c r="D17">
        <f>D16/10</f>
        <v>0.48031899584931337</v>
      </c>
      <c r="E17" t="s">
        <v>10</v>
      </c>
      <c r="F17">
        <f>SQRT(F16/10)</f>
        <v>0.17131072771770128</v>
      </c>
      <c r="O17" t="s">
        <v>7</v>
      </c>
      <c r="P17">
        <f>C2+Q16</f>
        <v>1.0968680942771132</v>
      </c>
      <c r="Q17">
        <f>C11+Q16</f>
        <v>2.1264875114582713</v>
      </c>
    </row>
    <row r="18" spans="2:23" x14ac:dyDescent="0.2">
      <c r="O18" t="s">
        <v>11</v>
      </c>
      <c r="P18">
        <f>C2-P17</f>
        <v>-0.18057736240295807</v>
      </c>
      <c r="Q18">
        <f>C11-Q16</f>
        <v>1.7653327866523552</v>
      </c>
    </row>
    <row r="21" spans="2:23" x14ac:dyDescent="0.2">
      <c r="O21">
        <f t="shared" ref="O21:O30" si="9">N2/S2</f>
        <v>16.552452089416029</v>
      </c>
      <c r="R21">
        <f t="shared" ref="R21:R30" si="10">1/S2</f>
        <v>7.2888180377364202</v>
      </c>
      <c r="T21">
        <f>P35/S35</f>
        <v>3.1043031367792699</v>
      </c>
      <c r="W21">
        <f>SQRT(1/S35)</f>
        <v>0.20282762002045784</v>
      </c>
    </row>
    <row r="22" spans="2:23" x14ac:dyDescent="0.2">
      <c r="O22">
        <f t="shared" si="9"/>
        <v>12.568305377819758</v>
      </c>
      <c r="R22">
        <f t="shared" si="10"/>
        <v>4.8107481984770573</v>
      </c>
    </row>
    <row r="23" spans="2:23" x14ac:dyDescent="0.2">
      <c r="O23">
        <f t="shared" si="9"/>
        <v>9.7897342443314486</v>
      </c>
      <c r="R23">
        <f t="shared" si="10"/>
        <v>3.3398263536993458</v>
      </c>
    </row>
    <row r="24" spans="2:23" x14ac:dyDescent="0.2">
      <c r="O24">
        <f t="shared" si="9"/>
        <v>7.7991467270312773</v>
      </c>
      <c r="R24">
        <f t="shared" si="10"/>
        <v>2.4143549376396192</v>
      </c>
    </row>
    <row r="25" spans="2:23" x14ac:dyDescent="0.2">
      <c r="O25">
        <f t="shared" si="9"/>
        <v>6.334393557657469</v>
      </c>
      <c r="R25">
        <f t="shared" si="10"/>
        <v>1.8033494828338357</v>
      </c>
    </row>
    <row r="26" spans="2:23" x14ac:dyDescent="0.2">
      <c r="O26">
        <f t="shared" si="9"/>
        <v>5.2301870173132281</v>
      </c>
      <c r="R26">
        <f t="shared" si="10"/>
        <v>1.3836046637863066</v>
      </c>
    </row>
    <row r="27" spans="2:23" x14ac:dyDescent="0.2">
      <c r="O27">
        <f t="shared" si="9"/>
        <v>4.3799080581776355</v>
      </c>
      <c r="R27">
        <f t="shared" si="10"/>
        <v>1.0855531682278308</v>
      </c>
    </row>
    <row r="28" spans="2:23" x14ac:dyDescent="0.2">
      <c r="O28">
        <f t="shared" si="9"/>
        <v>3.7129133780904904</v>
      </c>
      <c r="R28">
        <f t="shared" si="10"/>
        <v>0.8679381053652987</v>
      </c>
    </row>
    <row r="29" spans="2:23" x14ac:dyDescent="0.2">
      <c r="O29">
        <f t="shared" si="9"/>
        <v>3.1811504103432284</v>
      </c>
      <c r="R29">
        <f t="shared" si="10"/>
        <v>0.70524084546722487</v>
      </c>
    </row>
    <row r="30" spans="2:23" x14ac:dyDescent="0.2">
      <c r="O30">
        <f t="shared" si="9"/>
        <v>2.9553080387592598</v>
      </c>
      <c r="R30">
        <f t="shared" si="10"/>
        <v>0.60837495252891649</v>
      </c>
    </row>
    <row r="34" spans="15:19" x14ac:dyDescent="0.2">
      <c r="P34">
        <f>N11/S11</f>
        <v>2.9553080387592598</v>
      </c>
      <c r="S34">
        <f>1/S11</f>
        <v>0.60837495252891649</v>
      </c>
    </row>
    <row r="35" spans="15:19" x14ac:dyDescent="0.2">
      <c r="O35" t="s">
        <v>9</v>
      </c>
      <c r="P35">
        <f>O21+O22+O23+O24+O25+O26+O27+O28+O29+O30+O31+O32+O33+P34</f>
        <v>75.45880693769908</v>
      </c>
      <c r="S35">
        <f>R21+R22+R23+R24+R25+R26+R27+R28+R29+R30</f>
        <v>24.30780874576185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HUDAN AL BIRRA</cp:lastModifiedBy>
  <dcterms:created xsi:type="dcterms:W3CDTF">2021-03-22T14:21:51Z</dcterms:created>
  <dcterms:modified xsi:type="dcterms:W3CDTF">2025-09-23T16:40:24Z</dcterms:modified>
</cp:coreProperties>
</file>