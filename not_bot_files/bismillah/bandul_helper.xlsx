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elp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l (m)</t>
        </is>
      </c>
      <c r="C1" t="inlineStr">
        <is>
          <t>t1 (s)</t>
        </is>
      </c>
      <c r="D1" t="inlineStr">
        <is>
          <t>T (s)</t>
        </is>
      </c>
      <c r="E1" t="inlineStr">
        <is>
          <t>T^2 (s^2)</t>
        </is>
      </c>
    </row>
    <row r="2">
      <c r="A2" t="n">
        <v>1</v>
      </c>
      <c r="B2" t="n">
        <v>0.11</v>
      </c>
      <c r="C2" t="n">
        <v>18.19</v>
      </c>
      <c r="D2" t="n">
        <v>1.819</v>
      </c>
      <c r="E2" t="n">
        <v>3.308761000000001</v>
      </c>
    </row>
    <row r="3">
      <c r="A3" t="n">
        <v>2</v>
      </c>
      <c r="B3" t="n">
        <v>0.2</v>
      </c>
      <c r="C3" t="n">
        <v>13.25</v>
      </c>
      <c r="D3" t="n">
        <v>1.325</v>
      </c>
      <c r="E3" t="n">
        <v>1.755625</v>
      </c>
    </row>
    <row r="4">
      <c r="A4" t="n">
        <v>3</v>
      </c>
      <c r="B4" t="n">
        <v>0.3</v>
      </c>
      <c r="C4" t="n">
        <v>12</v>
      </c>
      <c r="D4" t="n">
        <v>1.2</v>
      </c>
      <c r="E4" t="n">
        <v>1.44</v>
      </c>
    </row>
    <row r="5">
      <c r="A5" t="n">
        <v>4</v>
      </c>
      <c r="B5" t="n">
        <v>0.4</v>
      </c>
      <c r="C5" t="n">
        <v>13</v>
      </c>
      <c r="D5" t="n">
        <v>1.3</v>
      </c>
      <c r="E5" t="n">
        <v>1.69</v>
      </c>
    </row>
    <row r="6">
      <c r="A6" t="n">
        <v>5</v>
      </c>
      <c r="B6" t="n">
        <v>0.5</v>
      </c>
      <c r="C6" t="n">
        <v>14.75</v>
      </c>
      <c r="D6" t="n">
        <v>1.475</v>
      </c>
      <c r="E6" t="n">
        <v>2.175625</v>
      </c>
    </row>
    <row r="7">
      <c r="A7" t="n">
        <v>6</v>
      </c>
      <c r="B7" t="n">
        <v>0.6</v>
      </c>
      <c r="C7" t="n">
        <v>15.5</v>
      </c>
      <c r="D7" t="n">
        <v>1.55</v>
      </c>
      <c r="E7" t="n">
        <v>2.4025</v>
      </c>
    </row>
    <row r="8">
      <c r="A8" t="n">
        <v>7</v>
      </c>
      <c r="B8" t="n">
        <v>0.7</v>
      </c>
      <c r="C8" t="n">
        <v>16.8</v>
      </c>
      <c r="D8" t="n">
        <v>1.68</v>
      </c>
      <c r="E8" t="n">
        <v>2.8224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Formula / Value</t>
        </is>
      </c>
    </row>
    <row r="2">
      <c r="A2" t="inlineStr">
        <is>
          <t>Left_min_Y</t>
        </is>
      </c>
      <c r="B2">
        <f>MIN(Data!E2:E3)</f>
        <v/>
      </c>
    </row>
    <row r="3">
      <c r="A3" t="inlineStr">
        <is>
          <t>Left_min_l</t>
        </is>
      </c>
      <c r="B3">
        <f>INDEX(Data!B2:B3, MATCH(B2, Data!E2:E3,0))</f>
        <v/>
      </c>
    </row>
    <row r="4">
      <c r="A4" t="inlineStr">
        <is>
          <t>Left_max_Y</t>
        </is>
      </c>
      <c r="B4">
        <f>MAX(Data!E2:E3)</f>
        <v/>
      </c>
    </row>
    <row r="5">
      <c r="A5" t="inlineStr">
        <is>
          <t>Left_max_l</t>
        </is>
      </c>
      <c r="B5">
        <f>INDEX(Data!B2:B3, MATCH(B4, Data!E2:E3,0))</f>
        <v/>
      </c>
    </row>
    <row r="6">
      <c r="A6" t="inlineStr">
        <is>
          <t>Right_max_Y</t>
        </is>
      </c>
      <c r="B6">
        <f>MAX(Data!E7:E8)</f>
        <v/>
      </c>
    </row>
    <row r="7">
      <c r="A7" t="inlineStr">
        <is>
          <t>Right_max_l</t>
        </is>
      </c>
      <c r="B7">
        <f>INDEX(Data!B7:B8, MATCH(B6, Data!E7:E8,0))</f>
        <v/>
      </c>
    </row>
    <row r="8">
      <c r="A8" t="inlineStr">
        <is>
          <t>Right_min_Y</t>
        </is>
      </c>
      <c r="B8">
        <f>MIN(Data!E7:E8)</f>
        <v/>
      </c>
    </row>
    <row r="9">
      <c r="A9" t="inlineStr">
        <is>
          <t>Right_min_l</t>
        </is>
      </c>
      <c r="B9">
        <f>INDEX(Data!B7:B8, MATCH(B8, Data!E7:E8,0))</f>
        <v/>
      </c>
    </row>
    <row r="10">
      <c r="A10" t="inlineStr">
        <is>
          <t>slope_best</t>
        </is>
      </c>
      <c r="B10">
        <f>SLOPE(Data!E2:E8, Data!B2:B8)</f>
        <v/>
      </c>
    </row>
    <row r="11">
      <c r="A11" t="inlineStr">
        <is>
          <t>intercept_best</t>
        </is>
      </c>
      <c r="B11">
        <f>INTERCEPT(Data!E2:E8, Data!B2:B8)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2025-09-26T19:22:48Z</dcterms:created>
  <dcterms:modified xmlns:dcterms="http://purl.org/dc/terms/" xmlns:xsi="http://www.w3.org/2001/XMLSchema-instance" xsi:type="dcterms:W3CDTF">2025-09-26T19:22:48Z</dcterms:modified>
</cp:coreProperties>
</file>