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-birra/Documents/Cahyo/testtt/"/>
    </mc:Choice>
  </mc:AlternateContent>
  <xr:revisionPtr revIDLastSave="0" documentId="13_ncr:1_{45B47699-9925-564D-AB87-417260C05974}" xr6:coauthVersionLast="47" xr6:coauthVersionMax="47" xr10:uidLastSave="{00000000-0000-0000-0000-000000000000}"/>
  <bookViews>
    <workbookView xWindow="13220" yWindow="660" windowWidth="15420" windowHeight="16180" xr2:uid="{995DC16A-E203-47A5-B78E-32BA0BD264A1}"/>
  </bookViews>
  <sheets>
    <sheet name="Sheet1" sheetId="1" r:id="rId1"/>
    <sheet name="Sheet2" sheetId="2" r:id="rId2"/>
  </sheets>
  <definedNames>
    <definedName name="_xlchart.v1.0" hidden="1">Sheet2!$A$2:$A$11</definedName>
    <definedName name="_xlchart.v1.1" hidden="1">Sheet2!$B$2:$B$11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2" l="1"/>
  <c r="J18" i="2"/>
  <c r="J17" i="2"/>
  <c r="I17" i="2"/>
  <c r="F17" i="2"/>
  <c r="F16" i="2"/>
  <c r="G16" i="1"/>
  <c r="D16" i="1"/>
  <c r="D17" i="1" s="1"/>
  <c r="D11" i="2"/>
  <c r="C11" i="2"/>
  <c r="G10" i="2"/>
  <c r="D10" i="2"/>
  <c r="H10" i="2" s="1"/>
  <c r="C10" i="2"/>
  <c r="G9" i="2"/>
  <c r="D9" i="2"/>
  <c r="H9" i="2" s="1"/>
  <c r="C9" i="2"/>
  <c r="D8" i="2"/>
  <c r="C8" i="2"/>
  <c r="D7" i="2"/>
  <c r="C7" i="2"/>
  <c r="G7" i="2" s="1"/>
  <c r="D6" i="2"/>
  <c r="C6" i="2"/>
  <c r="G5" i="2"/>
  <c r="D5" i="2"/>
  <c r="H5" i="2" s="1"/>
  <c r="C5" i="2"/>
  <c r="G4" i="2"/>
  <c r="D4" i="2"/>
  <c r="H4" i="2" s="1"/>
  <c r="C4" i="2"/>
  <c r="D3" i="2"/>
  <c r="C3" i="2"/>
  <c r="G3" i="2" s="1"/>
  <c r="D2" i="2"/>
  <c r="Q16" i="2" s="1"/>
  <c r="Q17" i="2" s="1"/>
  <c r="C2" i="2"/>
  <c r="D11" i="1"/>
  <c r="D2" i="1"/>
  <c r="C17" i="1"/>
  <c r="K2" i="1"/>
  <c r="G2" i="1"/>
  <c r="J7" i="1" l="1"/>
  <c r="J2" i="1"/>
  <c r="L2" i="1" s="1"/>
  <c r="H8" i="2"/>
  <c r="H6" i="2"/>
  <c r="Q18" i="2"/>
  <c r="G2" i="2"/>
  <c r="G6" i="2"/>
  <c r="G8" i="2"/>
  <c r="G11" i="2"/>
  <c r="H3" i="2"/>
  <c r="H7" i="2"/>
  <c r="H11" i="2"/>
  <c r="C16" i="2"/>
  <c r="H2" i="2"/>
  <c r="D16" i="2"/>
  <c r="P17" i="2"/>
  <c r="P18" i="2" s="1"/>
  <c r="H2" i="1"/>
  <c r="H16" i="2" l="1"/>
  <c r="J1" i="2" s="1"/>
  <c r="G16" i="2"/>
  <c r="J6" i="2"/>
  <c r="D17" i="2"/>
  <c r="K7" i="2"/>
  <c r="K2" i="2"/>
  <c r="K1" i="2"/>
  <c r="C17" i="2"/>
  <c r="C16" i="1"/>
  <c r="C2" i="1"/>
  <c r="K6" i="2" l="1"/>
  <c r="L6" i="2" s="1"/>
  <c r="E4" i="2"/>
  <c r="F4" i="2" s="1"/>
  <c r="E9" i="2"/>
  <c r="F9" i="2" s="1"/>
  <c r="E10" i="2"/>
  <c r="F10" i="2" s="1"/>
  <c r="E11" i="2"/>
  <c r="F11" i="2" s="1"/>
  <c r="E5" i="2"/>
  <c r="F5" i="2" s="1"/>
  <c r="E6" i="2"/>
  <c r="F6" i="2" s="1"/>
  <c r="E8" i="2"/>
  <c r="F8" i="2" s="1"/>
  <c r="E7" i="2"/>
  <c r="F7" i="2" s="1"/>
  <c r="E2" i="2"/>
  <c r="F2" i="2" s="1"/>
  <c r="E3" i="2"/>
  <c r="F3" i="2" s="1"/>
  <c r="J7" i="2"/>
  <c r="L7" i="2" s="1"/>
  <c r="J2" i="2"/>
  <c r="L2" i="2" s="1"/>
  <c r="L1" i="2"/>
  <c r="K4" i="2" s="1"/>
  <c r="M2" i="2" s="1"/>
  <c r="D10" i="1"/>
  <c r="D9" i="1"/>
  <c r="D8" i="1"/>
  <c r="D7" i="1"/>
  <c r="D6" i="1"/>
  <c r="D5" i="1"/>
  <c r="D4" i="1"/>
  <c r="D3" i="1"/>
  <c r="C11" i="1"/>
  <c r="C10" i="1"/>
  <c r="C9" i="1"/>
  <c r="C8" i="1"/>
  <c r="C7" i="1"/>
  <c r="C6" i="1"/>
  <c r="C5" i="1"/>
  <c r="C4" i="1"/>
  <c r="C3" i="1"/>
  <c r="O2" i="2" l="1"/>
  <c r="Q2" i="2" s="1"/>
  <c r="N5" i="2"/>
  <c r="P3" i="2"/>
  <c r="R3" i="2" s="1"/>
  <c r="N10" i="2"/>
  <c r="N2" i="2"/>
  <c r="P11" i="2"/>
  <c r="R11" i="2" s="1"/>
  <c r="P8" i="2"/>
  <c r="R8" i="2" s="1"/>
  <c r="O11" i="2"/>
  <c r="Q11" i="2" s="1"/>
  <c r="O3" i="2"/>
  <c r="Q3" i="2" s="1"/>
  <c r="N11" i="2"/>
  <c r="P9" i="2"/>
  <c r="R9" i="2" s="1"/>
  <c r="N8" i="2"/>
  <c r="P4" i="2"/>
  <c r="R4" i="2" s="1"/>
  <c r="N3" i="2"/>
  <c r="O9" i="2"/>
  <c r="Q9" i="2" s="1"/>
  <c r="S9" i="2" s="1"/>
  <c r="O4" i="2"/>
  <c r="Q4" i="2" s="1"/>
  <c r="S4" i="2" s="1"/>
  <c r="N9" i="2"/>
  <c r="N4" i="2"/>
  <c r="O8" i="2"/>
  <c r="Q8" i="2" s="1"/>
  <c r="P10" i="2"/>
  <c r="R10" i="2" s="1"/>
  <c r="P7" i="2"/>
  <c r="R7" i="2" s="1"/>
  <c r="P6" i="2"/>
  <c r="R6" i="2" s="1"/>
  <c r="P5" i="2"/>
  <c r="R5" i="2" s="1"/>
  <c r="P2" i="2"/>
  <c r="R2" i="2" s="1"/>
  <c r="O10" i="2"/>
  <c r="Q10" i="2" s="1"/>
  <c r="O7" i="2"/>
  <c r="Q7" i="2" s="1"/>
  <c r="O6" i="2"/>
  <c r="Q6" i="2" s="1"/>
  <c r="O5" i="2"/>
  <c r="Q5" i="2" s="1"/>
  <c r="N7" i="2"/>
  <c r="N6" i="2"/>
  <c r="K9" i="2"/>
  <c r="H3" i="1"/>
  <c r="J6" i="1"/>
  <c r="Q16" i="1"/>
  <c r="G10" i="1"/>
  <c r="H10" i="1"/>
  <c r="G3" i="1"/>
  <c r="H4" i="1"/>
  <c r="G4" i="1"/>
  <c r="G5" i="1"/>
  <c r="H5" i="1"/>
  <c r="H6" i="1"/>
  <c r="G6" i="1"/>
  <c r="H7" i="1"/>
  <c r="G7" i="1"/>
  <c r="G11" i="1"/>
  <c r="H11" i="1"/>
  <c r="H8" i="1"/>
  <c r="G8" i="1"/>
  <c r="H9" i="1"/>
  <c r="G9" i="1"/>
  <c r="S11" i="2" l="1"/>
  <c r="T11" i="2" s="1"/>
  <c r="S3" i="2"/>
  <c r="O22" i="2" s="1"/>
  <c r="R28" i="2"/>
  <c r="T9" i="2"/>
  <c r="T4" i="2"/>
  <c r="R23" i="2"/>
  <c r="S5" i="2"/>
  <c r="O24" i="2" s="1"/>
  <c r="S8" i="2"/>
  <c r="O27" i="2" s="1"/>
  <c r="S6" i="2"/>
  <c r="O25" i="2" s="1"/>
  <c r="S7" i="2"/>
  <c r="O23" i="2"/>
  <c r="S10" i="2"/>
  <c r="O29" i="2" s="1"/>
  <c r="O28" i="2"/>
  <c r="R22" i="2"/>
  <c r="T3" i="2"/>
  <c r="S2" i="2"/>
  <c r="H16" i="1"/>
  <c r="K6" i="1" s="1"/>
  <c r="L6" i="1" s="1"/>
  <c r="K1" i="1"/>
  <c r="E2" i="1"/>
  <c r="F2" i="1" s="1"/>
  <c r="Q18" i="1"/>
  <c r="Q17" i="1"/>
  <c r="P17" i="1"/>
  <c r="P18" i="1" s="1"/>
  <c r="K7" i="1"/>
  <c r="S34" i="2" l="1"/>
  <c r="O30" i="2"/>
  <c r="P34" i="2"/>
  <c r="R30" i="2"/>
  <c r="R29" i="2"/>
  <c r="T10" i="2"/>
  <c r="R26" i="2"/>
  <c r="T7" i="2"/>
  <c r="T6" i="2"/>
  <c r="R25" i="2"/>
  <c r="O26" i="2"/>
  <c r="R27" i="2"/>
  <c r="T8" i="2"/>
  <c r="R24" i="2"/>
  <c r="T5" i="2"/>
  <c r="R21" i="2"/>
  <c r="T2" i="2"/>
  <c r="O21" i="2"/>
  <c r="J1" i="1"/>
  <c r="L1" i="1" s="1"/>
  <c r="K4" i="1" s="1"/>
  <c r="M2" i="1" s="1"/>
  <c r="E4" i="1"/>
  <c r="F4" i="1" s="1"/>
  <c r="E3" i="1"/>
  <c r="F3" i="1" s="1"/>
  <c r="E10" i="1"/>
  <c r="F10" i="1" s="1"/>
  <c r="E8" i="1"/>
  <c r="F8" i="1" s="1"/>
  <c r="E11" i="1"/>
  <c r="F11" i="1" s="1"/>
  <c r="E9" i="1"/>
  <c r="F9" i="1" s="1"/>
  <c r="E6" i="1"/>
  <c r="F6" i="1" s="1"/>
  <c r="E5" i="1"/>
  <c r="F5" i="1" s="1"/>
  <c r="E7" i="1"/>
  <c r="F7" i="1" s="1"/>
  <c r="L7" i="1"/>
  <c r="K9" i="1" s="1"/>
  <c r="P35" i="2" l="1"/>
  <c r="S35" i="2"/>
  <c r="N2" i="1"/>
  <c r="O2" i="1"/>
  <c r="Q2" i="1" s="1"/>
  <c r="P2" i="1"/>
  <c r="R2" i="1" s="1"/>
  <c r="N3" i="1"/>
  <c r="O7" i="1"/>
  <c r="Q7" i="1" s="1"/>
  <c r="N10" i="1"/>
  <c r="O11" i="1"/>
  <c r="Q11" i="1" s="1"/>
  <c r="O8" i="1"/>
  <c r="Q8" i="1" s="1"/>
  <c r="O6" i="1"/>
  <c r="Q6" i="1" s="1"/>
  <c r="N8" i="1"/>
  <c r="N6" i="1"/>
  <c r="O9" i="1"/>
  <c r="Q9" i="1" s="1"/>
  <c r="O5" i="1"/>
  <c r="Q5" i="1" s="1"/>
  <c r="N7" i="1"/>
  <c r="N4" i="1"/>
  <c r="P11" i="1"/>
  <c r="R11" i="1" s="1"/>
  <c r="O4" i="1"/>
  <c r="Q4" i="1" s="1"/>
  <c r="P6" i="1"/>
  <c r="R6" i="1" s="1"/>
  <c r="P10" i="1"/>
  <c r="R10" i="1" s="1"/>
  <c r="O3" i="1"/>
  <c r="Q3" i="1" s="1"/>
  <c r="N11" i="1"/>
  <c r="P5" i="1"/>
  <c r="R5" i="1" s="1"/>
  <c r="P3" i="1"/>
  <c r="R3" i="1" s="1"/>
  <c r="P9" i="1"/>
  <c r="R9" i="1" s="1"/>
  <c r="N5" i="1"/>
  <c r="P8" i="1"/>
  <c r="R8" i="1" s="1"/>
  <c r="P7" i="1"/>
  <c r="R7" i="1" s="1"/>
  <c r="N9" i="1"/>
  <c r="P4" i="1"/>
  <c r="R4" i="1" s="1"/>
  <c r="O10" i="1"/>
  <c r="Q10" i="1" s="1"/>
  <c r="S10" i="1" s="1"/>
  <c r="F16" i="1"/>
  <c r="F17" i="1" s="1"/>
  <c r="T21" i="2" l="1"/>
  <c r="S5" i="1"/>
  <c r="T5" i="1" s="1"/>
  <c r="S9" i="1"/>
  <c r="O28" i="1" s="1"/>
  <c r="S6" i="1"/>
  <c r="O25" i="1" s="1"/>
  <c r="S8" i="1"/>
  <c r="O27" i="1" s="1"/>
  <c r="S11" i="1"/>
  <c r="O30" i="1" s="1"/>
  <c r="O29" i="1"/>
  <c r="R29" i="1"/>
  <c r="T10" i="1"/>
  <c r="S7" i="1"/>
  <c r="S3" i="1"/>
  <c r="O22" i="1" s="1"/>
  <c r="S2" i="1"/>
  <c r="S4" i="1"/>
  <c r="O23" i="1" s="1"/>
  <c r="R25" i="1" l="1"/>
  <c r="R24" i="1"/>
  <c r="T6" i="1"/>
  <c r="O24" i="1"/>
  <c r="R28" i="1"/>
  <c r="T9" i="1"/>
  <c r="P34" i="1"/>
  <c r="O26" i="1"/>
  <c r="R26" i="1"/>
  <c r="T7" i="1"/>
  <c r="T3" i="1"/>
  <c r="R22" i="1"/>
  <c r="T11" i="1"/>
  <c r="R30" i="1"/>
  <c r="S34" i="1"/>
  <c r="T8" i="1"/>
  <c r="R27" i="1"/>
  <c r="T4" i="1"/>
  <c r="R23" i="1"/>
  <c r="O21" i="1"/>
  <c r="R21" i="1"/>
  <c r="T2" i="1"/>
  <c r="P35" i="1" l="1"/>
  <c r="S35" i="1"/>
  <c r="W21" i="1" s="1"/>
  <c r="T21" i="1" l="1"/>
</calcChain>
</file>

<file path=xl/sharedStrings.xml><?xml version="1.0" encoding="utf-8"?>
<sst xmlns="http://schemas.openxmlformats.org/spreadsheetml/2006/main" count="43" uniqueCount="20">
  <si>
    <t>Tegangan (V)</t>
  </si>
  <si>
    <t>Ln I</t>
  </si>
  <si>
    <t>Ln V</t>
  </si>
  <si>
    <t>n</t>
  </si>
  <si>
    <t>k</t>
  </si>
  <si>
    <t>(I)^2</t>
  </si>
  <si>
    <t>(V)^2</t>
  </si>
  <si>
    <t>+</t>
  </si>
  <si>
    <t>Delta k</t>
  </si>
  <si>
    <t>Jumlah</t>
  </si>
  <si>
    <t>Ketidakpastian</t>
  </si>
  <si>
    <t>-</t>
  </si>
  <si>
    <t xml:space="preserve">rata" </t>
  </si>
  <si>
    <t>x-x'</t>
  </si>
  <si>
    <t>(x-x')^2</t>
  </si>
  <si>
    <t>x^2</t>
  </si>
  <si>
    <t>xy</t>
  </si>
  <si>
    <t>Lampu 1 (A)</t>
  </si>
  <si>
    <t xml:space="preserve">v  </t>
  </si>
  <si>
    <t>Lampu 2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</si>
</sst>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Sheet1!$D$2:$D$15</c:f>
              <c:numCache>
                <c:formatCode>General</c:formatCode>
                <c:ptCount val="14"/>
                <c:pt idx="0">
                  <c:v>0</c:v>
                </c:pt>
                <c:pt idx="1">
                  <c:v>0.18232155679395459</c:v>
                </c:pt>
                <c:pt idx="2">
                  <c:v>0.33647223662121289</c:v>
                </c:pt>
                <c:pt idx="3">
                  <c:v>0.33647223662121289</c:v>
                </c:pt>
                <c:pt idx="4">
                  <c:v>0.40546510810816438</c:v>
                </c:pt>
                <c:pt idx="5">
                  <c:v>0.47000362924573563</c:v>
                </c:pt>
                <c:pt idx="6">
                  <c:v>0.47000362924573563</c:v>
                </c:pt>
                <c:pt idx="7">
                  <c:v>0.58778666490211906</c:v>
                </c:pt>
                <c:pt idx="8">
                  <c:v>0.64185388617239469</c:v>
                </c:pt>
                <c:pt idx="9">
                  <c:v>0.69314718055994529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0.91629073187415511</c:v>
                </c:pt>
                <c:pt idx="1">
                  <c:v>1.0986122886681098</c:v>
                </c:pt>
                <c:pt idx="2">
                  <c:v>1.2527629684953681</c:v>
                </c:pt>
                <c:pt idx="3">
                  <c:v>1.3862943611198906</c:v>
                </c:pt>
                <c:pt idx="4">
                  <c:v>1.5040773967762742</c:v>
                </c:pt>
                <c:pt idx="5">
                  <c:v>1.6094379124341003</c:v>
                </c:pt>
                <c:pt idx="6">
                  <c:v>1.7047480922384253</c:v>
                </c:pt>
                <c:pt idx="7">
                  <c:v>1.791759469228055</c:v>
                </c:pt>
                <c:pt idx="8">
                  <c:v>1.8718021769015913</c:v>
                </c:pt>
                <c:pt idx="9">
                  <c:v>1.9459101490553132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B-43CF-9A41-133B5B12B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93184"/>
        <c:axId val="1478245488"/>
      </c:scatterChart>
      <c:valAx>
        <c:axId val="148619318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45488"/>
        <c:crosses val="autoZero"/>
        <c:crossBetween val="midCat"/>
      </c:valAx>
      <c:valAx>
        <c:axId val="147824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</a:t>
            </a:r>
            <a:r>
              <a:rPr lang="en-US" baseline="0"/>
              <a:t> Analisis Lampu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8390446612308"/>
          <c:y val="0.1492044968035672"/>
          <c:w val="0.83447342223667498"/>
          <c:h val="0.6085887293746528"/>
        </c:manualLayout>
      </c:layout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1.6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0-4BFA-BEFD-DFF370832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136032"/>
        <c:axId val="1230164512"/>
      </c:scatterChart>
      <c:valAx>
        <c:axId val="116113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Arus</a:t>
                </a:r>
              </a:p>
            </c:rich>
          </c:tx>
          <c:layout>
            <c:manualLayout>
              <c:xMode val="edge"/>
              <c:yMode val="edge"/>
              <c:x val="0.51313757655293102"/>
              <c:y val="0.86942111402741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164512"/>
        <c:crosses val="autoZero"/>
        <c:crossBetween val="midCat"/>
      </c:valAx>
      <c:valAx>
        <c:axId val="12301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Tegangan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3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Analisis Lampu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Lampu 1 (A)</c:v>
                </c:pt>
              </c:strCache>
            </c:strRef>
          </c:tx>
          <c:spPr>
            <a:ln w="952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xVal>
            <c:numRef>
              <c:f>Sheet1!$B$2:$B$15</c:f>
              <c:numCache>
                <c:formatCode>General</c:formatCode>
                <c:ptCount val="14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1.6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</c:numCache>
            </c:numRef>
          </c:xVal>
          <c:yVal>
            <c:numRef>
              <c:f>Sheet1!$A$2:$A$15</c:f>
              <c:numCache>
                <c:formatCode>General</c:formatCode>
                <c:ptCount val="14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A7-4AE9-8F06-B128B6C2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594448"/>
        <c:axId val="1239435392"/>
      </c:scatterChart>
      <c:valAx>
        <c:axId val="123359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Tegangan</a:t>
                </a:r>
              </a:p>
            </c:rich>
          </c:tx>
          <c:layout>
            <c:manualLayout>
              <c:xMode val="edge"/>
              <c:yMode val="edge"/>
              <c:x val="0.47988079615048118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35392"/>
        <c:crosses val="autoZero"/>
        <c:crossBetween val="midCat"/>
      </c:valAx>
      <c:valAx>
        <c:axId val="12394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9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Slope Best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199146981627296"/>
                  <c:y val="-3.51698745990084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(Sheet1!$D$2,Sheet1!$D$11)</c:f>
              <c:numCache>
                <c:formatCode>General</c:formatCode>
                <c:ptCount val="2"/>
                <c:pt idx="0">
                  <c:v>0</c:v>
                </c:pt>
                <c:pt idx="1">
                  <c:v>0.69314718055994529</c:v>
                </c:pt>
              </c:numCache>
            </c:numRef>
          </c:xVal>
          <c:yVal>
            <c:numRef>
              <c:f>(Sheet1!$C$2,Sheet1!$C$11)</c:f>
              <c:numCache>
                <c:formatCode>General</c:formatCode>
                <c:ptCount val="2"/>
                <c:pt idx="0">
                  <c:v>0.91629073187415511</c:v>
                </c:pt>
                <c:pt idx="1">
                  <c:v>1.9459101490553132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8-4240-A905-80CCEFA4FAF3}"/>
            </c:ext>
          </c:extLst>
        </c:ser>
        <c:ser>
          <c:idx val="1"/>
          <c:order val="1"/>
          <c:tx>
            <c:v>Slope 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5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dk1">
                    <a:tint val="55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FF0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(Sheet1!$D$2,Sheet1!$D$11)</c:f>
              <c:numCache>
                <c:formatCode>General</c:formatCode>
                <c:ptCount val="2"/>
                <c:pt idx="0">
                  <c:v>0</c:v>
                </c:pt>
                <c:pt idx="1">
                  <c:v>0.69314718055994529</c:v>
                </c:pt>
              </c:numCache>
            </c:numRef>
          </c:xVal>
          <c:yVal>
            <c:numRef>
              <c:f>(Sheet1!$P$18,Sheet1!$Q$17)</c:f>
              <c:numCache>
                <c:formatCode>General</c:formatCode>
                <c:ptCount val="2"/>
                <c:pt idx="0">
                  <c:v>-0.2117264678000208</c:v>
                </c:pt>
                <c:pt idx="1">
                  <c:v>2.157636616855334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C8-4240-A905-80CCEFA4FAF3}"/>
            </c:ext>
          </c:extLst>
        </c:ser>
        <c:ser>
          <c:idx val="2"/>
          <c:order val="2"/>
          <c:tx>
            <c:v>Slope Min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7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7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7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7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dk1">
                    <a:tint val="75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rgbClr val="00B05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(Sheet1!$D$2,Sheet1!$D$11)</c:f>
              <c:numCache>
                <c:formatCode>General</c:formatCode>
                <c:ptCount val="2"/>
                <c:pt idx="0">
                  <c:v>0</c:v>
                </c:pt>
                <c:pt idx="1">
                  <c:v>0.69314718055994529</c:v>
                </c:pt>
              </c:numCache>
            </c:numRef>
          </c:xVal>
          <c:yVal>
            <c:numRef>
              <c:f>(Sheet1!$P$17,Sheet1!$Q$18)</c:f>
              <c:numCache>
                <c:formatCode>General</c:formatCode>
                <c:ptCount val="2"/>
                <c:pt idx="0">
                  <c:v>1.1280171996741759</c:v>
                </c:pt>
                <c:pt idx="1">
                  <c:v>1.7341836812552924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C8-4240-A905-80CCEFA4F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694000"/>
        <c:axId val="1163504736"/>
      </c:scatterChart>
      <c:valAx>
        <c:axId val="133069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504736"/>
        <c:crosses val="autoZero"/>
        <c:crossBetween val="midCat"/>
      </c:valAx>
      <c:valAx>
        <c:axId val="11635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9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Analisis Lampu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Lampu 2 (A)</c:v>
                </c:pt>
              </c:strCache>
            </c:strRef>
          </c:tx>
          <c:spPr>
            <a:ln w="952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xVal>
            <c:numRef>
              <c:f>Sheet2!$B$2:$B$15</c:f>
              <c:numCache>
                <c:formatCode>General</c:formatCode>
                <c:ptCount val="14"/>
                <c:pt idx="0">
                  <c:v>0.8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1.3</c:v>
                </c:pt>
                <c:pt idx="7">
                  <c:v>1.4</c:v>
                </c:pt>
                <c:pt idx="8">
                  <c:v>1.5</c:v>
                </c:pt>
                <c:pt idx="9">
                  <c:v>1.6</c:v>
                </c:pt>
              </c:numCache>
            </c:numRef>
          </c:xVal>
          <c:yVal>
            <c:numRef>
              <c:f>Sheet2!$A$2:$A$15</c:f>
              <c:numCache>
                <c:formatCode>General</c:formatCode>
                <c:ptCount val="14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F-4E91-A16F-7F4AFE58A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594448"/>
        <c:axId val="1239435392"/>
      </c:scatterChart>
      <c:valAx>
        <c:axId val="123359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Tegangan</a:t>
                </a:r>
              </a:p>
            </c:rich>
          </c:tx>
          <c:layout>
            <c:manualLayout>
              <c:xMode val="edge"/>
              <c:yMode val="edge"/>
              <c:x val="0.47988079615048118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35392"/>
        <c:crosses val="autoZero"/>
        <c:crossBetween val="midCat"/>
      </c:valAx>
      <c:valAx>
        <c:axId val="12394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9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Sheet2!$O$21</c:f>
              <c:strCache>
                <c:ptCount val="1"/>
                <c:pt idx="0">
                  <c:v>23,81597425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Sheet2!$N$22:$N$30</c:f>
              <c:numCache>
                <c:formatCode>General</c:formatCode>
                <c:ptCount val="9"/>
              </c:numCache>
            </c:numRef>
          </c:cat>
          <c:val>
            <c:numRef>
              <c:f>Sheet2!$O$22:$O$30</c:f>
              <c:numCache>
                <c:formatCode>General</c:formatCode>
                <c:ptCount val="9"/>
                <c:pt idx="0">
                  <c:v>15.361445755121279</c:v>
                </c:pt>
                <c:pt idx="1">
                  <c:v>11.729553292354527</c:v>
                </c:pt>
                <c:pt idx="2">
                  <c:v>9.1694577503224615</c:v>
                </c:pt>
                <c:pt idx="3">
                  <c:v>8.1861005690997288</c:v>
                </c:pt>
                <c:pt idx="4">
                  <c:v>7.3904967810386637</c:v>
                </c:pt>
                <c:pt idx="5">
                  <c:v>6.0175795740986961</c:v>
                </c:pt>
                <c:pt idx="6">
                  <c:v>4.9758073504197311</c:v>
                </c:pt>
                <c:pt idx="7">
                  <c:v>4.1700204737381714</c:v>
                </c:pt>
                <c:pt idx="8">
                  <c:v>3.536046288429616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8-044D-B38A-B52BE56C3723}"/>
            </c:ext>
          </c:extLst>
        </c:ser>
        <c:ser>
          <c:idx val="1"/>
          <c:order val="1"/>
          <c:tx>
            <c:strRef>
              <c:f>Sheet2!$P$21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Sheet2!$N$22:$N$30</c:f>
              <c:numCache>
                <c:formatCode>General</c:formatCode>
                <c:ptCount val="9"/>
              </c:numCache>
            </c:numRef>
          </c:cat>
          <c:val>
            <c:numRef>
              <c:f>Sheet2!$P$22:$P$30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8-044D-B38A-B52BE56C3723}"/>
            </c:ext>
          </c:extLst>
        </c:ser>
        <c:ser>
          <c:idx val="2"/>
          <c:order val="2"/>
          <c:tx>
            <c:strRef>
              <c:f>Sheet2!$Q$21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Sheet2!$N$22:$N$30</c:f>
              <c:numCache>
                <c:formatCode>General</c:formatCode>
                <c:ptCount val="9"/>
              </c:numCache>
            </c:numRef>
          </c:cat>
          <c:val>
            <c:numRef>
              <c:f>Sheet2!$Q$22:$Q$30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8-044D-B38A-B52BE56C3723}"/>
            </c:ext>
          </c:extLst>
        </c:ser>
        <c:ser>
          <c:idx val="3"/>
          <c:order val="3"/>
          <c:tx>
            <c:strRef>
              <c:f>Sheet2!$R$21</c:f>
              <c:strCache>
                <c:ptCount val="1"/>
                <c:pt idx="0">
                  <c:v>8,381223436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Sheet2!$N$22:$N$30</c:f>
              <c:numCache>
                <c:formatCode>General</c:formatCode>
                <c:ptCount val="9"/>
              </c:numCache>
            </c:numRef>
          </c:cat>
          <c:val>
            <c:numRef>
              <c:f>Sheet2!$R$22:$R$30</c:f>
              <c:numCache>
                <c:formatCode>General</c:formatCode>
                <c:ptCount val="9"/>
                <c:pt idx="0">
                  <c:v>5.12048191837376</c:v>
                </c:pt>
                <c:pt idx="1">
                  <c:v>3.5397330721584983</c:v>
                </c:pt>
                <c:pt idx="2">
                  <c:v>2.5452430895383507</c:v>
                </c:pt>
                <c:pt idx="3">
                  <c:v>2.0198083653707699</c:v>
                </c:pt>
                <c:pt idx="4">
                  <c:v>1.641153609942317</c:v>
                </c:pt>
                <c:pt idx="5">
                  <c:v>1.2719096455339822</c:v>
                </c:pt>
                <c:pt idx="6">
                  <c:v>1.0059621088394386</c:v>
                </c:pt>
                <c:pt idx="7">
                  <c:v>0.80963888833451592</c:v>
                </c:pt>
                <c:pt idx="8">
                  <c:v>0.6615662626117278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18-044D-B38A-B52BE56C3723}"/>
            </c:ext>
          </c:extLst>
        </c:ser>
        <c:ser>
          <c:idx val="4"/>
          <c:order val="4"/>
          <c:tx>
            <c:strRef>
              <c:f>Sheet2!$S$21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Sheet2!$N$22:$N$30</c:f>
              <c:numCache>
                <c:formatCode>General</c:formatCode>
                <c:ptCount val="9"/>
              </c:numCache>
            </c:numRef>
          </c:cat>
          <c:val>
            <c:numRef>
              <c:f>Sheet2!$S$22:$S$30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18-044D-B38A-B52BE56C3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070352"/>
        <c:axId val="1476097536"/>
      </c:lineChart>
      <c:catAx>
        <c:axId val="147607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097536"/>
        <c:crosses val="autoZero"/>
        <c:auto val="1"/>
        <c:lblAlgn val="ctr"/>
        <c:lblOffset val="100"/>
        <c:noMultiLvlLbl val="0"/>
      </c:catAx>
      <c:valAx>
        <c:axId val="147609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07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794304931205843E-2"/>
          <c:y val="2.3519292698280399E-2"/>
          <c:w val="0.90413855599289905"/>
          <c:h val="0.90579470461042877"/>
        </c:manualLayout>
      </c:layout>
      <c:scatterChart>
        <c:scatterStyle val="lineMarker"/>
        <c:varyColors val="0"/>
        <c:ser>
          <c:idx val="0"/>
          <c:order val="0"/>
          <c:tx>
            <c:v>slope best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(Sheet2!$D$2,Sheet2!$D$11)</c:f>
              <c:numCache>
                <c:formatCode>General</c:formatCode>
                <c:ptCount val="2"/>
                <c:pt idx="0">
                  <c:v>-0.22314355131420971</c:v>
                </c:pt>
                <c:pt idx="1">
                  <c:v>0.47000362924573563</c:v>
                </c:pt>
              </c:numCache>
            </c:numRef>
          </c:xVal>
          <c:yVal>
            <c:numRef>
              <c:f>(Sheet2!$C$2,Sheet2!$C$11)</c:f>
              <c:numCache>
                <c:formatCode>General</c:formatCode>
                <c:ptCount val="2"/>
                <c:pt idx="0">
                  <c:v>0.91629073187415511</c:v>
                </c:pt>
                <c:pt idx="1">
                  <c:v>1.9459101490553132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3-F440-9F80-E0386E3A51E5}"/>
            </c:ext>
          </c:extLst>
        </c:ser>
        <c:ser>
          <c:idx val="1"/>
          <c:order val="1"/>
          <c:tx>
            <c:v>sloppe max</c:v>
          </c:tx>
          <c:spPr>
            <a:ln w="2540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chemeClr val="tx2"/>
                </a:solidFill>
                <a:round/>
              </a:ln>
              <a:effectLst/>
            </c:spPr>
          </c:dPt>
          <c:xVal>
            <c:numRef>
              <c:f>(Sheet2!$D$2,Sheet2!$D$11)</c:f>
              <c:numCache>
                <c:formatCode>General</c:formatCode>
                <c:ptCount val="2"/>
                <c:pt idx="0">
                  <c:v>-0.22314355131420971</c:v>
                </c:pt>
                <c:pt idx="1">
                  <c:v>0.47000362924573563</c:v>
                </c:pt>
              </c:numCache>
            </c:numRef>
          </c:xVal>
          <c:yVal>
            <c:numRef>
              <c:f>(Sheet2!$I$17,Sheet2!$J$18)</c:f>
              <c:numCache>
                <c:formatCode>General</c:formatCode>
                <c:ptCount val="2"/>
                <c:pt idx="0">
                  <c:v>-0.19168835950123767</c:v>
                </c:pt>
                <c:pt idx="1">
                  <c:v>1.7916883595012378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3-F440-9F80-E0386E3A51E5}"/>
            </c:ext>
          </c:extLst>
        </c:ser>
        <c:ser>
          <c:idx val="2"/>
          <c:order val="2"/>
          <c:tx>
            <c:v>slope min</c:v>
          </c:tx>
          <c:spPr>
            <a:ln w="2540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(Sheet2!$D$2,Sheet2!$D$11)</c:f>
              <c:numCache>
                <c:formatCode>General</c:formatCode>
                <c:ptCount val="2"/>
                <c:pt idx="0">
                  <c:v>-0.22314355131420971</c:v>
                </c:pt>
                <c:pt idx="1">
                  <c:v>0.47000362924573563</c:v>
                </c:pt>
              </c:numCache>
            </c:numRef>
          </c:xVal>
          <c:yVal>
            <c:numRef>
              <c:f>(Sheet2!$I$18,Sheet2!$J$17)</c:f>
              <c:numCache>
                <c:formatCode>General</c:formatCode>
                <c:ptCount val="2"/>
                <c:pt idx="0">
                  <c:v>1.4083116404987623</c:v>
                </c:pt>
                <c:pt idx="1">
                  <c:v>0.99168835950123768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C3-F440-9F80-E0386E3A5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683648"/>
        <c:axId val="435011440"/>
      </c:scatterChart>
      <c:valAx>
        <c:axId val="13816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11440"/>
        <c:crosses val="autoZero"/>
        <c:crossBetween val="midCat"/>
      </c:valAx>
      <c:valAx>
        <c:axId val="4350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68364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6138522498739125E-2"/>
                  <c:y val="-7.9519813579748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>
                <a:glow>
                  <a:schemeClr val="accent1"/>
                </a:glow>
                <a:outerShdw dist="50800" sx="1000" sy="1000" algn="ctr" rotWithShape="0">
                  <a:srgbClr val="000000"/>
                </a:outerShdw>
              </a:effectLst>
            </c:spPr>
          </c:errBars>
          <c:xVal>
            <c:numRef>
              <c:f>(Sheet2!$A$2,Sheet2!$A$11)</c:f>
              <c:numCache>
                <c:formatCode>General</c:formatCode>
                <c:ptCount val="2"/>
                <c:pt idx="0">
                  <c:v>2.5</c:v>
                </c:pt>
                <c:pt idx="1">
                  <c:v>7</c:v>
                </c:pt>
              </c:numCache>
            </c:numRef>
          </c:xVal>
          <c:yVal>
            <c:numRef>
              <c:f>(Sheet2!$I$17,Sheet2!$J$18)</c:f>
              <c:numCache>
                <c:formatCode>General</c:formatCode>
                <c:ptCount val="2"/>
                <c:pt idx="0">
                  <c:v>-0.19168835950123767</c:v>
                </c:pt>
                <c:pt idx="1">
                  <c:v>1.7916883595012378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9D-DC48-B4FB-C531FBEE4C0C}"/>
            </c:ext>
          </c:extLst>
        </c:ser>
        <c:ser>
          <c:idx val="1"/>
          <c:order val="1"/>
          <c:tx>
            <c:v>slope 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(Sheet2!$A$2,Sheet2!$A$11)</c:f>
              <c:numCache>
                <c:formatCode>General</c:formatCode>
                <c:ptCount val="2"/>
                <c:pt idx="0">
                  <c:v>2.5</c:v>
                </c:pt>
                <c:pt idx="1">
                  <c:v>7</c:v>
                </c:pt>
              </c:numCache>
            </c:numRef>
          </c:xVal>
          <c:yVal>
            <c:numRef>
              <c:f>(Sheet2!$B$2,Sheet2!$B$11)</c:f>
              <c:numCache>
                <c:formatCode>General</c:formatCode>
                <c:ptCount val="2"/>
                <c:pt idx="0">
                  <c:v>0.8</c:v>
                </c:pt>
                <c:pt idx="1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9D-DC48-B4FB-C531FBEE4C0C}"/>
            </c:ext>
          </c:extLst>
        </c:ser>
        <c:ser>
          <c:idx val="2"/>
          <c:order val="2"/>
          <c:tx>
            <c:v>slope min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(Sheet2!$A$2,Sheet2!$A$11)</c:f>
              <c:numCache>
                <c:formatCode>General</c:formatCode>
                <c:ptCount val="2"/>
                <c:pt idx="0">
                  <c:v>2.5</c:v>
                </c:pt>
                <c:pt idx="1">
                  <c:v>7</c:v>
                </c:pt>
              </c:numCache>
            </c:numRef>
          </c:xVal>
          <c:yVal>
            <c:numRef>
              <c:f>(Sheet2!$J$17,Sheet2!$I$18)</c:f>
              <c:numCache>
                <c:formatCode>General</c:formatCode>
                <c:ptCount val="2"/>
                <c:pt idx="0">
                  <c:v>0.99168835950123768</c:v>
                </c:pt>
                <c:pt idx="1">
                  <c:v>1.4083116404987623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89D-DC48-B4FB-C531FBEE4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744704"/>
        <c:axId val="436994112"/>
      </c:scatterChart>
      <c:valAx>
        <c:axId val="43674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94112"/>
        <c:crosses val="autoZero"/>
        <c:crossBetween val="midCat"/>
      </c:valAx>
      <c:valAx>
        <c:axId val="4369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4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Sheet2!$A$2:$A$11</c:f>
              <c:numCache>
                <c:formatCode>General</c:formatCode>
                <c:ptCount val="10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</c:numCache>
            </c:numRef>
          </c:xVal>
          <c:yVal>
            <c:numRef>
              <c:f>Sheet2!$B$2:$B$11</c:f>
              <c:numCache>
                <c:formatCode>General</c:formatCode>
                <c:ptCount val="10"/>
                <c:pt idx="0">
                  <c:v>0.8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1.3</c:v>
                </c:pt>
                <c:pt idx="7">
                  <c:v>1.4</c:v>
                </c:pt>
                <c:pt idx="8">
                  <c:v>1.5</c:v>
                </c:pt>
                <c:pt idx="9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54-FE44-9453-ED488EA24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596239"/>
        <c:axId val="344597951"/>
      </c:scatterChart>
      <c:valAx>
        <c:axId val="3445962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97951"/>
        <c:crosses val="autoZero"/>
        <c:crossBetween val="midCat"/>
      </c:valAx>
      <c:valAx>
        <c:axId val="3445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9623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3.png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image" Target="../media/image5.png"/><Relationship Id="rId10" Type="http://schemas.openxmlformats.org/officeDocument/2006/relationships/chart" Target="../charts/chart9.xml"/><Relationship Id="rId4" Type="http://schemas.openxmlformats.org/officeDocument/2006/relationships/image" Target="../media/image4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14</xdr:col>
      <xdr:colOff>171450</xdr:colOff>
      <xdr:row>0</xdr:row>
      <xdr:rowOff>352425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E20D97-584C-48C5-B587-85BD130A3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0"/>
          <a:ext cx="17145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180975</xdr:colOff>
      <xdr:row>0</xdr:row>
      <xdr:rowOff>352425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B12CDD-6C5C-443D-8A68-4DA7FC527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0"/>
          <a:ext cx="1809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91754</xdr:colOff>
      <xdr:row>0</xdr:row>
      <xdr:rowOff>378434</xdr:rowOff>
    </xdr:from>
    <xdr:to>
      <xdr:col>29</xdr:col>
      <xdr:colOff>396554</xdr:colOff>
      <xdr:row>14</xdr:row>
      <xdr:rowOff>114107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DAC3C1-6372-413E-A255-DFAB45BE3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133350</xdr:colOff>
      <xdr:row>16</xdr:row>
      <xdr:rowOff>114300</xdr:rowOff>
    </xdr:from>
    <xdr:to>
      <xdr:col>15</xdr:col>
      <xdr:colOff>104775</xdr:colOff>
      <xdr:row>19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45D12-515B-469F-8919-B07CBC783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24250"/>
          <a:ext cx="58102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590550</xdr:colOff>
      <xdr:row>16</xdr:row>
      <xdr:rowOff>66675</xdr:rowOff>
    </xdr:from>
    <xdr:to>
      <xdr:col>17</xdr:col>
      <xdr:colOff>561975</xdr:colOff>
      <xdr:row>19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EC1C47-6299-4485-9084-A21408407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76625"/>
          <a:ext cx="58102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57150</xdr:colOff>
      <xdr:row>16</xdr:row>
      <xdr:rowOff>9525</xdr:rowOff>
    </xdr:from>
    <xdr:to>
      <xdr:col>20</xdr:col>
      <xdr:colOff>419100</xdr:colOff>
      <xdr:row>19</xdr:row>
      <xdr:rowOff>66675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2F8CA3-73B4-42AA-920A-4B2E402C8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3419475"/>
          <a:ext cx="9715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180975</xdr:colOff>
      <xdr:row>15</xdr:row>
      <xdr:rowOff>57150</xdr:rowOff>
    </xdr:from>
    <xdr:to>
      <xdr:col>24</xdr:col>
      <xdr:colOff>142875</xdr:colOff>
      <xdr:row>19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155535-9115-43A3-B91A-BBC490F0D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3276600"/>
          <a:ext cx="11811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154805</xdr:colOff>
      <xdr:row>15</xdr:row>
      <xdr:rowOff>75181</xdr:rowOff>
    </xdr:from>
    <xdr:to>
      <xdr:col>32</xdr:col>
      <xdr:colOff>458547</xdr:colOff>
      <xdr:row>29</xdr:row>
      <xdr:rowOff>166037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EC55E-2C37-4CA3-9BFD-1A6EB3C07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452870</xdr:colOff>
      <xdr:row>21</xdr:row>
      <xdr:rowOff>80096</xdr:rowOff>
    </xdr:from>
    <xdr:to>
      <xdr:col>10</xdr:col>
      <xdr:colOff>150956</xdr:colOff>
      <xdr:row>35</xdr:row>
      <xdr:rowOff>146193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EF32D-70C3-409D-95D7-67F61F32B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262758</xdr:colOff>
      <xdr:row>30</xdr:row>
      <xdr:rowOff>134698</xdr:rowOff>
    </xdr:from>
    <xdr:to>
      <xdr:col>28</xdr:col>
      <xdr:colOff>56605</xdr:colOff>
      <xdr:row>48</xdr:row>
      <xdr:rowOff>80288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95D4FC5-54D6-4D98-A105-4D0D63F07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14</xdr:col>
      <xdr:colOff>171450</xdr:colOff>
      <xdr:row>0</xdr:row>
      <xdr:rowOff>352425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2E8CBA-70F1-4E6E-B6C7-14BC60DB4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8850" y="0"/>
          <a:ext cx="17145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180975</xdr:colOff>
      <xdr:row>0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9C82DD-BE46-4E1B-ABA5-D601FDF91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8450" y="0"/>
          <a:ext cx="1809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133350</xdr:colOff>
      <xdr:row>16</xdr:row>
      <xdr:rowOff>114300</xdr:rowOff>
    </xdr:from>
    <xdr:to>
      <xdr:col>15</xdr:col>
      <xdr:colOff>104775</xdr:colOff>
      <xdr:row>19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9DDB22-8F11-4FE4-882B-A4B1733D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2200" y="3448050"/>
          <a:ext cx="5810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590550</xdr:colOff>
      <xdr:row>16</xdr:row>
      <xdr:rowOff>66675</xdr:rowOff>
    </xdr:from>
    <xdr:to>
      <xdr:col>17</xdr:col>
      <xdr:colOff>561975</xdr:colOff>
      <xdr:row>19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69BEDA-628E-4E43-B01E-30B39D798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8600" y="3400425"/>
          <a:ext cx="5810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57150</xdr:colOff>
      <xdr:row>16</xdr:row>
      <xdr:rowOff>9525</xdr:rowOff>
    </xdr:from>
    <xdr:to>
      <xdr:col>20</xdr:col>
      <xdr:colOff>419100</xdr:colOff>
      <xdr:row>19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016BFC-DD08-43A6-8FDB-9801D94B5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4000" y="3343275"/>
          <a:ext cx="9715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452870</xdr:colOff>
      <xdr:row>21</xdr:row>
      <xdr:rowOff>80096</xdr:rowOff>
    </xdr:from>
    <xdr:to>
      <xdr:col>10</xdr:col>
      <xdr:colOff>150956</xdr:colOff>
      <xdr:row>35</xdr:row>
      <xdr:rowOff>146193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041EF4-B25D-4599-ADAD-0D77A69D5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102809</xdr:colOff>
      <xdr:row>41</xdr:row>
      <xdr:rowOff>160464</xdr:rowOff>
    </xdr:from>
    <xdr:to>
      <xdr:col>26</xdr:col>
      <xdr:colOff>18143</xdr:colOff>
      <xdr:row>57</xdr:row>
      <xdr:rowOff>806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20ED6E-8861-9D8F-E468-8282B9885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644273</xdr:colOff>
      <xdr:row>25</xdr:row>
      <xdr:rowOff>105632</xdr:rowOff>
    </xdr:from>
    <xdr:to>
      <xdr:col>10</xdr:col>
      <xdr:colOff>559607</xdr:colOff>
      <xdr:row>40</xdr:row>
      <xdr:rowOff>127404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0ACEED-AD4F-097F-4B37-FBFE715D9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156633</xdr:colOff>
      <xdr:row>50</xdr:row>
      <xdr:rowOff>126999</xdr:rowOff>
    </xdr:from>
    <xdr:to>
      <xdr:col>21</xdr:col>
      <xdr:colOff>618066</xdr:colOff>
      <xdr:row>68</xdr:row>
      <xdr:rowOff>158657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595E40-500E-6DC5-2C0C-6C4E99801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73396</xdr:colOff>
      <xdr:row>11</xdr:row>
      <xdr:rowOff>188137</xdr:rowOff>
    </xdr:from>
    <xdr:to>
      <xdr:col>7</xdr:col>
      <xdr:colOff>552532</xdr:colOff>
      <xdr:row>25</xdr:row>
      <xdr:rowOff>168124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CBA45D5-2839-FDC6-B84E-B0459516B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4902-090A-46A6-A787-7B4C77FA158A}">
  <dimension ref="A1:W35"/>
  <sheetViews>
    <sheetView tabSelected="1" topLeftCell="A6" zoomScale="111" workbookViewId="0">
      <selection activeCell="C20" sqref="C20"/>
    </sheetView>
  </sheetViews>
  <sheetFormatPr baseColWidth="10" defaultColWidth="8.83203125" defaultRowHeight="15" x14ac:dyDescent="0.2"/>
  <cols>
    <col min="5" max="5" width="8.5" customWidth="1"/>
    <col min="6" max="6" width="9.83203125" customWidth="1"/>
    <col min="7" max="7" width="8.5" customWidth="1"/>
  </cols>
  <sheetData>
    <row r="1" spans="1:20" ht="34" x14ac:dyDescent="0.2">
      <c r="A1" s="1" t="s">
        <v>0</v>
      </c>
      <c r="B1" s="1" t="s">
        <v>17</v>
      </c>
      <c r="C1" s="1" t="s">
        <v>2</v>
      </c>
      <c r="D1" s="1" t="s">
        <v>1</v>
      </c>
      <c r="E1" t="s">
        <v>13</v>
      </c>
      <c r="F1" t="s">
        <v>14</v>
      </c>
      <c r="G1" t="s">
        <v>15</v>
      </c>
      <c r="H1" t="s">
        <v>16</v>
      </c>
      <c r="I1" s="1"/>
      <c r="J1">
        <f>10*H16</f>
        <v>68.59198537083897</v>
      </c>
      <c r="K1">
        <f>C16*D16</f>
        <v>62.189765645814333</v>
      </c>
      <c r="L1">
        <f>J1-K1</f>
        <v>6.4022197250246364</v>
      </c>
      <c r="M1" t="s">
        <v>3</v>
      </c>
      <c r="N1" s="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t="16" x14ac:dyDescent="0.2">
      <c r="A2" s="1">
        <v>2.5</v>
      </c>
      <c r="B2">
        <v>1</v>
      </c>
      <c r="C2">
        <f>LN(A2)</f>
        <v>0.91629073187415511</v>
      </c>
      <c r="D2">
        <f>LN(B2)</f>
        <v>0</v>
      </c>
      <c r="E2">
        <f>D2-D17</f>
        <v>-0.41235261282704749</v>
      </c>
      <c r="F2">
        <f>E2^2</f>
        <v>0.17003467730529293</v>
      </c>
      <c r="G2">
        <f>C2^2</f>
        <v>0.83958870531847485</v>
      </c>
      <c r="H2">
        <f>C2*D2</f>
        <v>0</v>
      </c>
      <c r="J2">
        <f>10*G16</f>
        <v>237.97081737719679</v>
      </c>
      <c r="K2">
        <f>C16^2</f>
        <v>227.45754056610406</v>
      </c>
      <c r="L2">
        <f>J2-K2</f>
        <v>10.513276811092737</v>
      </c>
      <c r="M2">
        <f>K4</f>
        <v>0.6089652008657801</v>
      </c>
      <c r="N2">
        <f>A2/(B2)^M2</f>
        <v>2.5</v>
      </c>
      <c r="O2">
        <f>1/(B2)^M2</f>
        <v>1</v>
      </c>
      <c r="P2">
        <f>-(M2*A2)/(B2^(M2-1))</f>
        <v>-1.5224130021644502</v>
      </c>
      <c r="Q2">
        <f t="shared" ref="Q2:Q11" si="0">(O2*0.1)^2</f>
        <v>1.0000000000000002E-2</v>
      </c>
      <c r="R2">
        <f t="shared" ref="R2:R11" si="1">(P2*0.25)^2</f>
        <v>0.14485883432246088</v>
      </c>
      <c r="S2">
        <f t="shared" ref="S2:S11" si="2">Q2+R2</f>
        <v>0.15485883432246089</v>
      </c>
      <c r="T2">
        <f t="shared" ref="T2:T11" si="3">SQRT(S2)</f>
        <v>0.39352107227245264</v>
      </c>
    </row>
    <row r="3" spans="1:20" ht="16" x14ac:dyDescent="0.2">
      <c r="A3" s="1">
        <v>3</v>
      </c>
      <c r="B3">
        <v>1.2</v>
      </c>
      <c r="C3">
        <f t="shared" ref="C3:C11" si="4">LN(A3)</f>
        <v>1.0986122886681098</v>
      </c>
      <c r="D3">
        <f t="shared" ref="D3:D10" si="5">LN(B3)</f>
        <v>0.18232155679395459</v>
      </c>
      <c r="E3">
        <f>D3-D17</f>
        <v>-0.2300310560330929</v>
      </c>
      <c r="F3">
        <f t="shared" ref="F3:F11" si="6">E3^2</f>
        <v>5.2914286739699924E-2</v>
      </c>
      <c r="G3">
        <f t="shared" ref="G3:G11" si="7">C3^2</f>
        <v>1.2069489608125821</v>
      </c>
      <c r="H3">
        <f>C3*D3</f>
        <v>0.20030070278293921</v>
      </c>
      <c r="N3">
        <f>A3/(B3)^M2</f>
        <v>2.6847424597740406</v>
      </c>
      <c r="O3">
        <f>1/(B3)^M2</f>
        <v>0.89491415325801349</v>
      </c>
      <c r="P3">
        <f>-(M2*A3)/(B3^(M2-1))</f>
        <v>-1.9618976775470247</v>
      </c>
      <c r="Q3">
        <f t="shared" si="0"/>
        <v>8.0087134170150724E-3</v>
      </c>
      <c r="R3">
        <f t="shared" si="1"/>
        <v>0.24056515607277559</v>
      </c>
      <c r="S3">
        <f t="shared" si="2"/>
        <v>0.24857386948979066</v>
      </c>
      <c r="T3">
        <f t="shared" si="3"/>
        <v>0.49857182981972681</v>
      </c>
    </row>
    <row r="4" spans="1:20" ht="16" x14ac:dyDescent="0.2">
      <c r="A4" s="1">
        <v>3.5</v>
      </c>
      <c r="B4">
        <v>1.4</v>
      </c>
      <c r="C4">
        <f t="shared" si="4"/>
        <v>1.2527629684953681</v>
      </c>
      <c r="D4">
        <f t="shared" si="5"/>
        <v>0.33647223662121289</v>
      </c>
      <c r="E4">
        <f>D4-D17</f>
        <v>-7.5880376205834599E-2</v>
      </c>
      <c r="F4">
        <f t="shared" si="6"/>
        <v>5.7578314931389894E-3</v>
      </c>
      <c r="G4">
        <f t="shared" si="7"/>
        <v>1.5694150552333266</v>
      </c>
      <c r="H4">
        <f t="shared" ref="H4:H11" si="8">C4*D4</f>
        <v>0.42151995796586655</v>
      </c>
      <c r="K4">
        <f>L1/L2</f>
        <v>0.6089652008657801</v>
      </c>
      <c r="N4">
        <f>A4/(B4)^M2</f>
        <v>2.8515510814332909</v>
      </c>
      <c r="O4">
        <f>1/(B4)^M2</f>
        <v>0.81472888040951175</v>
      </c>
      <c r="P4">
        <f>-(M2*A4)/(B4^(M2-1))</f>
        <v>-2.4310935279176791</v>
      </c>
      <c r="Q4">
        <f t="shared" si="0"/>
        <v>6.6378314857333661E-3</v>
      </c>
      <c r="R4">
        <f t="shared" si="1"/>
        <v>0.36938848384270168</v>
      </c>
      <c r="S4">
        <f t="shared" si="2"/>
        <v>0.37602631532843506</v>
      </c>
      <c r="T4">
        <f t="shared" si="3"/>
        <v>0.61320984607916651</v>
      </c>
    </row>
    <row r="5" spans="1:20" ht="16" x14ac:dyDescent="0.2">
      <c r="A5" s="1">
        <v>4</v>
      </c>
      <c r="B5">
        <v>1.4</v>
      </c>
      <c r="C5">
        <f t="shared" si="4"/>
        <v>1.3862943611198906</v>
      </c>
      <c r="D5">
        <f t="shared" si="5"/>
        <v>0.33647223662121289</v>
      </c>
      <c r="E5">
        <f>D5-D17</f>
        <v>-7.5880376205834599E-2</v>
      </c>
      <c r="F5">
        <f t="shared" si="6"/>
        <v>5.7578314931389894E-3</v>
      </c>
      <c r="G5">
        <f t="shared" si="7"/>
        <v>1.9218120556728056</v>
      </c>
      <c r="H5">
        <f t="shared" si="8"/>
        <v>0.46644956430138496</v>
      </c>
      <c r="N5">
        <f>A5/(B5)^M2</f>
        <v>3.258915521638047</v>
      </c>
      <c r="O5">
        <f>1/(B5)^M2</f>
        <v>0.81472888040951175</v>
      </c>
      <c r="P5">
        <f>-(M2*A5)/(B5^(M2-1))</f>
        <v>-2.7783926033344906</v>
      </c>
      <c r="Q5">
        <f t="shared" si="0"/>
        <v>6.6378314857333661E-3</v>
      </c>
      <c r="R5">
        <f t="shared" si="1"/>
        <v>0.48246659114148799</v>
      </c>
      <c r="S5">
        <f t="shared" si="2"/>
        <v>0.48910442262722137</v>
      </c>
      <c r="T5">
        <f t="shared" si="3"/>
        <v>0.69936000931367337</v>
      </c>
    </row>
    <row r="6" spans="1:20" ht="16" x14ac:dyDescent="0.2">
      <c r="A6" s="1">
        <v>4.5</v>
      </c>
      <c r="B6">
        <v>1.5</v>
      </c>
      <c r="C6">
        <f t="shared" si="4"/>
        <v>1.5040773967762742</v>
      </c>
      <c r="D6">
        <f t="shared" si="5"/>
        <v>0.40546510810816438</v>
      </c>
      <c r="E6">
        <f>D6-D17</f>
        <v>-6.8875047188831084E-3</v>
      </c>
      <c r="F6">
        <f t="shared" si="6"/>
        <v>4.7437721252637089E-5</v>
      </c>
      <c r="G6">
        <f t="shared" si="7"/>
        <v>2.2622488154932938</v>
      </c>
      <c r="H6">
        <f t="shared" si="8"/>
        <v>0.60985090428693844</v>
      </c>
      <c r="J6">
        <f>D16*G16</f>
        <v>98.127888322075265</v>
      </c>
      <c r="K6">
        <f>C16*H16</f>
        <v>103.44834403129549</v>
      </c>
      <c r="L6">
        <f>J6-K6</f>
        <v>-5.3204557092202265</v>
      </c>
      <c r="N6">
        <f>A6/(B6)^M2</f>
        <v>3.5154349396514784</v>
      </c>
      <c r="O6">
        <f>1/(B6)^M2</f>
        <v>0.78120776436699513</v>
      </c>
      <c r="P6">
        <f>-(M2*A6)/(B6^(M2-1))</f>
        <v>-3.2111663162331658</v>
      </c>
      <c r="Q6">
        <f t="shared" si="0"/>
        <v>6.1028557110727856E-3</v>
      </c>
      <c r="R6">
        <f t="shared" si="1"/>
        <v>0.64447431940690503</v>
      </c>
      <c r="S6">
        <f t="shared" si="2"/>
        <v>0.65057717511797786</v>
      </c>
      <c r="T6">
        <f t="shared" si="3"/>
        <v>0.80658364421675321</v>
      </c>
    </row>
    <row r="7" spans="1:20" ht="16" x14ac:dyDescent="0.2">
      <c r="A7" s="1">
        <v>5</v>
      </c>
      <c r="B7">
        <v>1.6</v>
      </c>
      <c r="C7">
        <f t="shared" si="4"/>
        <v>1.6094379124341003</v>
      </c>
      <c r="D7">
        <f t="shared" si="5"/>
        <v>0.47000362924573563</v>
      </c>
      <c r="E7">
        <f>D7-D17</f>
        <v>5.7651016418688139E-2</v>
      </c>
      <c r="F7">
        <f t="shared" si="6"/>
        <v>3.3236396941078495E-3</v>
      </c>
      <c r="G7">
        <f t="shared" si="7"/>
        <v>2.5902903939802346</v>
      </c>
      <c r="H7">
        <f t="shared" si="8"/>
        <v>0.75644165988970757</v>
      </c>
      <c r="J7">
        <f>10*G16</f>
        <v>237.97081737719679</v>
      </c>
      <c r="K7">
        <f>C16^2</f>
        <v>227.45754056610406</v>
      </c>
      <c r="L7">
        <f>J7-K7</f>
        <v>10.513276811092737</v>
      </c>
      <c r="N7">
        <f>A7/(B7)^M2</f>
        <v>3.7555023501884892</v>
      </c>
      <c r="O7">
        <f>1/(B7)^M2</f>
        <v>0.75110047003769775</v>
      </c>
      <c r="P7">
        <f>-(M2*A7)/(B7^(M2-1))</f>
        <v>-3.6591523888551079</v>
      </c>
      <c r="Q7">
        <f t="shared" si="0"/>
        <v>5.6415191609085046E-3</v>
      </c>
      <c r="R7">
        <f t="shared" si="1"/>
        <v>0.83683726280400261</v>
      </c>
      <c r="S7">
        <f t="shared" si="2"/>
        <v>0.84247878196491111</v>
      </c>
      <c r="T7">
        <f t="shared" si="3"/>
        <v>0.91786642926131201</v>
      </c>
    </row>
    <row r="8" spans="1:20" ht="16" x14ac:dyDescent="0.2">
      <c r="A8" s="1">
        <v>5.5</v>
      </c>
      <c r="B8">
        <v>1.6</v>
      </c>
      <c r="C8">
        <f t="shared" si="4"/>
        <v>1.7047480922384253</v>
      </c>
      <c r="D8">
        <f t="shared" si="5"/>
        <v>0.47000362924573563</v>
      </c>
      <c r="E8">
        <f>D8-D17</f>
        <v>5.7651016418688139E-2</v>
      </c>
      <c r="F8">
        <f t="shared" si="6"/>
        <v>3.3236396941078495E-3</v>
      </c>
      <c r="G8">
        <f t="shared" si="7"/>
        <v>2.9061660579905504</v>
      </c>
      <c r="H8">
        <f t="shared" si="8"/>
        <v>0.80123779030180398</v>
      </c>
      <c r="N8">
        <f>A8/(B8)^M2</f>
        <v>4.1310525852073381</v>
      </c>
      <c r="O8">
        <f>1/(B8)^M2</f>
        <v>0.75110047003769775</v>
      </c>
      <c r="P8">
        <f>-(M2*A8)/(B8^(M2-1))</f>
        <v>-4.0250676277406194</v>
      </c>
      <c r="Q8">
        <f t="shared" si="0"/>
        <v>5.6415191609085046E-3</v>
      </c>
      <c r="R8">
        <f t="shared" si="1"/>
        <v>1.0125730879928436</v>
      </c>
      <c r="S8">
        <f t="shared" si="2"/>
        <v>1.0182146071537521</v>
      </c>
      <c r="T8">
        <f t="shared" si="3"/>
        <v>1.0090662055354704</v>
      </c>
    </row>
    <row r="9" spans="1:20" ht="16" x14ac:dyDescent="0.2">
      <c r="A9" s="1">
        <v>6</v>
      </c>
      <c r="B9">
        <v>1.8</v>
      </c>
      <c r="C9">
        <f t="shared" si="4"/>
        <v>1.791759469228055</v>
      </c>
      <c r="D9">
        <f t="shared" si="5"/>
        <v>0.58778666490211906</v>
      </c>
      <c r="E9">
        <f>D9-D17</f>
        <v>0.17543405207507157</v>
      </c>
      <c r="F9">
        <f t="shared" si="6"/>
        <v>3.0777106627478922E-2</v>
      </c>
      <c r="G9">
        <f t="shared" si="7"/>
        <v>3.2104019955684011</v>
      </c>
      <c r="H9">
        <f t="shared" si="8"/>
        <v>1.0531723227243495</v>
      </c>
      <c r="K9">
        <f>L6/L7</f>
        <v>-0.50607016297778096</v>
      </c>
      <c r="N9">
        <f>A9/(B9)^M2</f>
        <v>4.1946833098024507</v>
      </c>
      <c r="O9">
        <f>1/(B9)^M2</f>
        <v>0.69911388496707516</v>
      </c>
      <c r="P9">
        <f>-(M2*A9)/(B9^(M2-1))</f>
        <v>-4.5979490957799332</v>
      </c>
      <c r="Q9">
        <f t="shared" si="0"/>
        <v>4.8876022415375673E-3</v>
      </c>
      <c r="R9">
        <f t="shared" si="1"/>
        <v>1.3213209929614691</v>
      </c>
      <c r="S9">
        <f t="shared" si="2"/>
        <v>1.3262085952030067</v>
      </c>
      <c r="T9">
        <f t="shared" si="3"/>
        <v>1.1516113038708011</v>
      </c>
    </row>
    <row r="10" spans="1:20" ht="16" x14ac:dyDescent="0.2">
      <c r="A10" s="1">
        <v>6.5</v>
      </c>
      <c r="B10">
        <v>1.9</v>
      </c>
      <c r="C10">
        <f t="shared" si="4"/>
        <v>1.8718021769015913</v>
      </c>
      <c r="D10">
        <f t="shared" si="5"/>
        <v>0.64185388617239469</v>
      </c>
      <c r="E10">
        <f>D10-D17</f>
        <v>0.2295012733453472</v>
      </c>
      <c r="F10">
        <f t="shared" si="6"/>
        <v>5.2670834467135774E-2</v>
      </c>
      <c r="G10">
        <f t="shared" si="7"/>
        <v>3.5036433894535364</v>
      </c>
      <c r="H10">
        <f t="shared" si="8"/>
        <v>1.2014235013902346</v>
      </c>
      <c r="N10">
        <f>A10/(B10)^M2</f>
        <v>4.3970571876811828</v>
      </c>
      <c r="O10">
        <f>1/(B10)^M2</f>
        <v>0.67647033656633593</v>
      </c>
      <c r="P10">
        <f>-(M2*A10)/(B10^(M2-1))</f>
        <v>-5.0875441456777288</v>
      </c>
      <c r="Q10">
        <f t="shared" si="0"/>
        <v>4.5761211625417178E-3</v>
      </c>
      <c r="R10">
        <f t="shared" si="1"/>
        <v>1.6176940896387333</v>
      </c>
      <c r="S10">
        <f t="shared" si="2"/>
        <v>1.622270210801275</v>
      </c>
      <c r="T10">
        <f t="shared" si="3"/>
        <v>1.2736837169412487</v>
      </c>
    </row>
    <row r="11" spans="1:20" ht="16" x14ac:dyDescent="0.2">
      <c r="A11" s="1">
        <v>7</v>
      </c>
      <c r="B11">
        <v>2</v>
      </c>
      <c r="C11">
        <f t="shared" si="4"/>
        <v>1.9459101490553132</v>
      </c>
      <c r="D11">
        <f>LN(B11)</f>
        <v>0.69314718055994529</v>
      </c>
      <c r="E11">
        <f>D11-D17</f>
        <v>0.28079456773289779</v>
      </c>
      <c r="F11">
        <f t="shared" si="6"/>
        <v>7.8845589268304928E-2</v>
      </c>
      <c r="G11">
        <f t="shared" si="7"/>
        <v>3.7865663081964716</v>
      </c>
      <c r="H11">
        <f t="shared" si="8"/>
        <v>1.3488021334406732</v>
      </c>
      <c r="N11">
        <f>A11/(B11)^M2</f>
        <v>4.5896677554364791</v>
      </c>
      <c r="O11">
        <f>1/(B11)^M2</f>
        <v>0.65566682220521122</v>
      </c>
      <c r="P11">
        <f>-(M2*A11)/(B11^(M2-1))</f>
        <v>-5.5898958931931393</v>
      </c>
      <c r="Q11">
        <f t="shared" si="0"/>
        <v>4.2989898174068016E-3</v>
      </c>
      <c r="R11">
        <f t="shared" si="1"/>
        <v>1.9529335060460953</v>
      </c>
      <c r="S11">
        <f t="shared" si="2"/>
        <v>1.9572324958635021</v>
      </c>
      <c r="T11">
        <f t="shared" si="3"/>
        <v>1.3990112565177959</v>
      </c>
    </row>
    <row r="12" spans="1:20" ht="16" x14ac:dyDescent="0.2">
      <c r="A12" s="1"/>
      <c r="B12" s="1"/>
    </row>
    <row r="13" spans="1:20" ht="16" x14ac:dyDescent="0.2">
      <c r="A13" s="1"/>
      <c r="B13" s="1"/>
    </row>
    <row r="14" spans="1:20" ht="16" x14ac:dyDescent="0.2">
      <c r="A14" s="1"/>
      <c r="B14" s="1"/>
    </row>
    <row r="15" spans="1:20" ht="16" x14ac:dyDescent="0.2">
      <c r="A15" s="1"/>
      <c r="B15" s="1"/>
    </row>
    <row r="16" spans="1:20" x14ac:dyDescent="0.2">
      <c r="B16" t="s">
        <v>7</v>
      </c>
      <c r="C16" s="2">
        <f>C2+C3+C4+C5+C6+C7+C8+C9+C10+C11</f>
        <v>15.081695546791284</v>
      </c>
      <c r="D16" s="2">
        <f>D2+D3+D4+D5+D6+D7+D8+D9+D10+D11</f>
        <v>4.1235261282704752</v>
      </c>
      <c r="F16" s="2">
        <f>F2+F3+F4+F5+F6+F7+F8+F9+F10+F11</f>
        <v>0.40345287450365874</v>
      </c>
      <c r="G16" s="2">
        <f>G2+G3+G4+G5+G6+G7+G8+G9+G10+G11</f>
        <v>23.797081737719679</v>
      </c>
      <c r="H16" s="2">
        <f>H2+H3+H4+H5+H6+H7+H8+H9+H10+H11</f>
        <v>6.8591985370838966</v>
      </c>
      <c r="P16" t="s">
        <v>10</v>
      </c>
      <c r="Q16">
        <f>_xlfn.STDEV.S(D2:D11)</f>
        <v>0.21172646780002075</v>
      </c>
    </row>
    <row r="17" spans="2:23" x14ac:dyDescent="0.2">
      <c r="B17" t="s">
        <v>12</v>
      </c>
      <c r="C17">
        <f>C16/10</f>
        <v>1.5081695546791285</v>
      </c>
      <c r="D17">
        <f>D16/10</f>
        <v>0.41235261282704749</v>
      </c>
      <c r="E17" t="s">
        <v>10</v>
      </c>
      <c r="F17">
        <f>SQRT(F16/10)</f>
        <v>0.20086136375710953</v>
      </c>
      <c r="O17" t="s">
        <v>7</v>
      </c>
      <c r="P17">
        <f>C2+Q16</f>
        <v>1.1280171996741759</v>
      </c>
      <c r="Q17">
        <f>C11+Q16</f>
        <v>2.157636616855334</v>
      </c>
    </row>
    <row r="18" spans="2:23" x14ac:dyDescent="0.2">
      <c r="O18" t="s">
        <v>11</v>
      </c>
      <c r="P18">
        <f>C2-P17</f>
        <v>-0.2117264678000208</v>
      </c>
      <c r="Q18">
        <f>C11-Q16</f>
        <v>1.7341836812552924</v>
      </c>
    </row>
    <row r="21" spans="2:23" x14ac:dyDescent="0.2">
      <c r="O21">
        <f t="shared" ref="O21:O30" si="9">N2/S2</f>
        <v>16.143735105187972</v>
      </c>
      <c r="R21">
        <f t="shared" ref="R21:R30" si="10">1/S2</f>
        <v>6.4574940420751892</v>
      </c>
      <c r="T21">
        <f>P35/S35</f>
        <v>3.1615932593937477</v>
      </c>
      <c r="W21">
        <f>SQRT(1/S35)</f>
        <v>0.21941254863190149</v>
      </c>
    </row>
    <row r="22" spans="2:23" x14ac:dyDescent="0.2">
      <c r="O22">
        <f t="shared" si="9"/>
        <v>10.800581997152792</v>
      </c>
      <c r="R22">
        <f t="shared" si="10"/>
        <v>4.0229490012467766</v>
      </c>
    </row>
    <row r="23" spans="2:23" x14ac:dyDescent="0.2">
      <c r="O23">
        <f t="shared" si="9"/>
        <v>7.5833817081196635</v>
      </c>
      <c r="R23">
        <f t="shared" si="10"/>
        <v>2.6593883439422679</v>
      </c>
    </row>
    <row r="24" spans="2:23" x14ac:dyDescent="0.2">
      <c r="O24">
        <f t="shared" si="9"/>
        <v>6.6630260755623567</v>
      </c>
      <c r="R24">
        <f t="shared" si="10"/>
        <v>2.0445531746135237</v>
      </c>
    </row>
    <row r="25" spans="2:23" x14ac:dyDescent="0.2">
      <c r="O25">
        <f t="shared" si="9"/>
        <v>5.4035632882662652</v>
      </c>
      <c r="R25">
        <f t="shared" si="10"/>
        <v>1.5370966554715921</v>
      </c>
    </row>
    <row r="26" spans="2:23" x14ac:dyDescent="0.2">
      <c r="O26">
        <f t="shared" si="9"/>
        <v>4.4576818201041704</v>
      </c>
      <c r="R26">
        <f t="shared" si="10"/>
        <v>1.1869735136447028</v>
      </c>
    </row>
    <row r="27" spans="2:23" x14ac:dyDescent="0.2">
      <c r="O27">
        <f t="shared" si="9"/>
        <v>4.0571531346962324</v>
      </c>
      <c r="R27">
        <f t="shared" si="10"/>
        <v>0.98211122976847876</v>
      </c>
    </row>
    <row r="28" spans="2:23" x14ac:dyDescent="0.2">
      <c r="O28">
        <f t="shared" si="9"/>
        <v>3.1629136811320078</v>
      </c>
      <c r="R28">
        <f t="shared" si="10"/>
        <v>0.75402919541999125</v>
      </c>
    </row>
    <row r="29" spans="2:23" x14ac:dyDescent="0.2">
      <c r="O29">
        <f t="shared" si="9"/>
        <v>2.7104345246587371</v>
      </c>
      <c r="R29">
        <f t="shared" si="10"/>
        <v>0.61642012122387302</v>
      </c>
    </row>
    <row r="30" spans="2:23" x14ac:dyDescent="0.2">
      <c r="O30">
        <f t="shared" si="9"/>
        <v>2.344978312559431</v>
      </c>
      <c r="R30">
        <f t="shared" si="10"/>
        <v>0.51092550430949935</v>
      </c>
    </row>
    <row r="34" spans="15:19" x14ac:dyDescent="0.2">
      <c r="P34">
        <f>N11/S11</f>
        <v>2.344978312559431</v>
      </c>
      <c r="S34">
        <f>1/S11</f>
        <v>0.51092550430949935</v>
      </c>
    </row>
    <row r="35" spans="15:19" x14ac:dyDescent="0.2">
      <c r="O35" t="s">
        <v>9</v>
      </c>
      <c r="P35">
        <f>O21+O22+O23+O24+O25+O26+O27+O28+O29+O30+O31+O32+O33+P34</f>
        <v>65.672427959999055</v>
      </c>
      <c r="S35">
        <f>R21+R22+R23+R24+R25+R26+R27+R28+R29+R30</f>
        <v>20.771940781715891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C15C-74B3-48D3-B3D0-7574CF98539D}">
  <dimension ref="A1:T35"/>
  <sheetViews>
    <sheetView topLeftCell="A5" zoomScale="92" zoomScaleNormal="136" workbookViewId="0">
      <selection activeCell="J42" sqref="J42"/>
    </sheetView>
  </sheetViews>
  <sheetFormatPr baseColWidth="10" defaultColWidth="8.83203125" defaultRowHeight="15" x14ac:dyDescent="0.2"/>
  <sheetData>
    <row r="1" spans="1:20" ht="34" x14ac:dyDescent="0.2">
      <c r="A1" s="1" t="s">
        <v>0</v>
      </c>
      <c r="B1" s="1" t="s">
        <v>19</v>
      </c>
      <c r="C1" s="1" t="s">
        <v>2</v>
      </c>
      <c r="D1" s="1" t="s">
        <v>1</v>
      </c>
      <c r="E1" t="s">
        <v>13</v>
      </c>
      <c r="F1" t="s">
        <v>14</v>
      </c>
      <c r="G1" t="s">
        <v>15</v>
      </c>
      <c r="H1" t="s">
        <v>16</v>
      </c>
      <c r="I1" s="1"/>
      <c r="J1">
        <f>10*H16</f>
        <v>34.590265998814061</v>
      </c>
      <c r="K1">
        <f>C16*D16</f>
        <v>28.556233392949256</v>
      </c>
      <c r="L1">
        <f>J1-K1</f>
        <v>6.0340326058648053</v>
      </c>
      <c r="M1" t="s">
        <v>3</v>
      </c>
      <c r="N1" s="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t="16" x14ac:dyDescent="0.2">
      <c r="A2" s="1">
        <v>2.5</v>
      </c>
      <c r="B2">
        <v>0.8</v>
      </c>
      <c r="C2">
        <f>LN(A2)</f>
        <v>0.91629073187415511</v>
      </c>
      <c r="D2">
        <f>LN(B2)</f>
        <v>-0.22314355131420971</v>
      </c>
      <c r="E2">
        <f>D2-D17</f>
        <v>-0.41248720504566799</v>
      </c>
      <c r="F2">
        <f>E2^2</f>
        <v>0.17014569432638696</v>
      </c>
      <c r="G2">
        <f>C2^2</f>
        <v>0.83958870531847485</v>
      </c>
      <c r="H2">
        <f>C2*D2</f>
        <v>-0.20446436794669531</v>
      </c>
      <c r="J2">
        <f>10*G16</f>
        <v>237.97081737719679</v>
      </c>
      <c r="K2">
        <f>C16^2</f>
        <v>227.45754056610406</v>
      </c>
      <c r="L2">
        <f>J2-K2</f>
        <v>10.513276811092737</v>
      </c>
      <c r="M2">
        <f>K4</f>
        <v>0.57394404373507935</v>
      </c>
      <c r="N2">
        <f>A2/(B2)^M2</f>
        <v>2.8415868440849019</v>
      </c>
      <c r="O2">
        <f>1/(B2)^M2</f>
        <v>1.1366347376339607</v>
      </c>
      <c r="P2">
        <f>-(M2*A2)/(B2^(M2-1))</f>
        <v>-1.3047294751347931</v>
      </c>
      <c r="Q2">
        <f t="shared" ref="Q2:Q11" si="0">(O2*0.1)^2</f>
        <v>1.2919385267962229E-2</v>
      </c>
      <c r="R2">
        <f t="shared" ref="R2:R11" si="1">(P2*0.25)^2</f>
        <v>0.10639493770534454</v>
      </c>
      <c r="S2">
        <f t="shared" ref="S2:S11" si="2">Q2+R2</f>
        <v>0.11931432297330677</v>
      </c>
      <c r="T2">
        <f t="shared" ref="T2:T11" si="3">SQRT(S2)</f>
        <v>0.34541905415495938</v>
      </c>
    </row>
    <row r="3" spans="1:20" ht="16" x14ac:dyDescent="0.2">
      <c r="A3" s="1">
        <v>3</v>
      </c>
      <c r="B3">
        <v>1</v>
      </c>
      <c r="C3">
        <f t="shared" ref="C3:D11" si="4">LN(A3)</f>
        <v>1.0986122886681098</v>
      </c>
      <c r="D3">
        <f t="shared" si="4"/>
        <v>0</v>
      </c>
      <c r="E3">
        <f>D3-D17</f>
        <v>-0.18934365373145828</v>
      </c>
      <c r="F3">
        <f t="shared" ref="F3:F11" si="5">E3^2</f>
        <v>3.5851019208378375E-2</v>
      </c>
      <c r="G3">
        <f t="shared" ref="G3:G11" si="6">C3^2</f>
        <v>1.2069489608125821</v>
      </c>
      <c r="H3">
        <f>C3*D3</f>
        <v>0</v>
      </c>
      <c r="N3">
        <f>A3/(B3)^M2</f>
        <v>3</v>
      </c>
      <c r="O3">
        <f>1/(B3)^M2</f>
        <v>1</v>
      </c>
      <c r="P3">
        <f>-(M2*A3)/(B3^(M2-1))</f>
        <v>-1.721832131205238</v>
      </c>
      <c r="Q3">
        <f t="shared" si="0"/>
        <v>1.0000000000000002E-2</v>
      </c>
      <c r="R3">
        <f t="shared" si="1"/>
        <v>0.18529411800317325</v>
      </c>
      <c r="S3">
        <f t="shared" si="2"/>
        <v>0.19529411800317326</v>
      </c>
      <c r="T3">
        <f t="shared" si="3"/>
        <v>0.44192094089686818</v>
      </c>
    </row>
    <row r="4" spans="1:20" ht="16" x14ac:dyDescent="0.2">
      <c r="A4" s="1">
        <v>3.5</v>
      </c>
      <c r="B4">
        <v>1.1000000000000001</v>
      </c>
      <c r="C4">
        <f t="shared" si="4"/>
        <v>1.2527629684953681</v>
      </c>
      <c r="D4">
        <f t="shared" si="4"/>
        <v>9.5310179804324935E-2</v>
      </c>
      <c r="E4">
        <f>D4-D17</f>
        <v>-9.4033473927133349E-2</v>
      </c>
      <c r="F4">
        <f t="shared" si="5"/>
        <v>8.8422942188048671E-3</v>
      </c>
      <c r="G4">
        <f t="shared" si="6"/>
        <v>1.5694150552333266</v>
      </c>
      <c r="H4">
        <f t="shared" ref="H4:H11" si="7">C4*D4</f>
        <v>0.11940106377949339</v>
      </c>
      <c r="K4">
        <f>L1/L2</f>
        <v>0.57394404373507935</v>
      </c>
      <c r="N4">
        <f>A4/(B4)^M2</f>
        <v>3.3136829962158552</v>
      </c>
      <c r="O4">
        <f>1/(B4)^M2</f>
        <v>0.9467665703473872</v>
      </c>
      <c r="P4">
        <f>-(M2*A4)/(B4^(M2-1))</f>
        <v>-2.0920554803547318</v>
      </c>
      <c r="Q4">
        <f t="shared" si="0"/>
        <v>8.9636693872735419E-3</v>
      </c>
      <c r="R4">
        <f t="shared" si="1"/>
        <v>0.27354350830514174</v>
      </c>
      <c r="S4">
        <f t="shared" si="2"/>
        <v>0.28250717769241529</v>
      </c>
      <c r="T4">
        <f t="shared" si="3"/>
        <v>0.53151404279888537</v>
      </c>
    </row>
    <row r="5" spans="1:20" ht="16" x14ac:dyDescent="0.2">
      <c r="A5" s="1">
        <v>4</v>
      </c>
      <c r="B5">
        <v>1.2</v>
      </c>
      <c r="C5">
        <f t="shared" si="4"/>
        <v>1.3862943611198906</v>
      </c>
      <c r="D5">
        <f t="shared" si="4"/>
        <v>0.18232155679395459</v>
      </c>
      <c r="E5">
        <f>D5-D17</f>
        <v>-7.0220969375036912E-3</v>
      </c>
      <c r="F5">
        <f t="shared" si="5"/>
        <v>4.9309845399698717E-5</v>
      </c>
      <c r="G5">
        <f t="shared" si="6"/>
        <v>1.9218120556728056</v>
      </c>
      <c r="H5">
        <f t="shared" si="7"/>
        <v>0.25275134609405914</v>
      </c>
      <c r="N5">
        <f>A5/(B5)^M2</f>
        <v>3.6025862472670909</v>
      </c>
      <c r="O5">
        <f>1/(B5)^M2</f>
        <v>0.90064656181677272</v>
      </c>
      <c r="P5">
        <f>-(M2*A5)/(B5^(M2-1))</f>
        <v>-2.4812195023930301</v>
      </c>
      <c r="Q5">
        <f t="shared" si="0"/>
        <v>8.1116422931237393E-3</v>
      </c>
      <c r="R5">
        <f t="shared" si="1"/>
        <v>0.38477813869096977</v>
      </c>
      <c r="S5">
        <f t="shared" si="2"/>
        <v>0.3928897809840935</v>
      </c>
      <c r="T5">
        <f t="shared" si="3"/>
        <v>0.62680920620559932</v>
      </c>
    </row>
    <row r="6" spans="1:20" ht="16" x14ac:dyDescent="0.2">
      <c r="A6" s="1">
        <v>4.5</v>
      </c>
      <c r="B6">
        <v>1.2</v>
      </c>
      <c r="C6">
        <f t="shared" si="4"/>
        <v>1.5040773967762742</v>
      </c>
      <c r="D6">
        <f t="shared" si="4"/>
        <v>0.18232155679395459</v>
      </c>
      <c r="E6">
        <f>D6-D17</f>
        <v>-7.0220969375036912E-3</v>
      </c>
      <c r="F6">
        <f t="shared" si="5"/>
        <v>4.9309845399698717E-5</v>
      </c>
      <c r="G6">
        <f t="shared" si="6"/>
        <v>2.2622488154932938</v>
      </c>
      <c r="H6">
        <f t="shared" si="7"/>
        <v>0.27422573251884885</v>
      </c>
      <c r="J6">
        <f>D16*G16</f>
        <v>45.058264043660046</v>
      </c>
      <c r="K6">
        <f>C16*H16</f>
        <v>52.167986067664003</v>
      </c>
      <c r="L6">
        <f>J6-K6</f>
        <v>-7.1097220240039576</v>
      </c>
      <c r="N6">
        <f>A6/(B6)^M2</f>
        <v>4.0529095281754772</v>
      </c>
      <c r="O6">
        <f>1/(B6)^M2</f>
        <v>0.90064656181677272</v>
      </c>
      <c r="P6">
        <f>-(M2*A6)/(B6^(M2-1))</f>
        <v>-2.7913719401921591</v>
      </c>
      <c r="Q6">
        <f t="shared" si="0"/>
        <v>8.1116422931237393E-3</v>
      </c>
      <c r="R6">
        <f t="shared" si="1"/>
        <v>0.48698483178075863</v>
      </c>
      <c r="S6">
        <f t="shared" si="2"/>
        <v>0.49509647407388235</v>
      </c>
      <c r="T6">
        <f t="shared" si="3"/>
        <v>0.70363092177211939</v>
      </c>
    </row>
    <row r="7" spans="1:20" ht="16" x14ac:dyDescent="0.2">
      <c r="A7" s="1">
        <v>5</v>
      </c>
      <c r="B7">
        <v>1.2</v>
      </c>
      <c r="C7">
        <f t="shared" si="4"/>
        <v>1.6094379124341003</v>
      </c>
      <c r="D7">
        <f t="shared" si="4"/>
        <v>0.18232155679395459</v>
      </c>
      <c r="E7">
        <f>D7-D17</f>
        <v>-7.0220969375036912E-3</v>
      </c>
      <c r="F7">
        <f t="shared" si="5"/>
        <v>4.9309845399698717E-5</v>
      </c>
      <c r="G7">
        <f t="shared" si="6"/>
        <v>2.5902903939802346</v>
      </c>
      <c r="H7">
        <f t="shared" si="7"/>
        <v>0.29343522575819753</v>
      </c>
      <c r="J7">
        <f>10*G16</f>
        <v>237.97081737719679</v>
      </c>
      <c r="K7">
        <f>C16^2</f>
        <v>227.45754056610406</v>
      </c>
      <c r="L7">
        <f>J7-K7</f>
        <v>10.513276811092737</v>
      </c>
      <c r="N7">
        <f>A7/(B7)^M2</f>
        <v>4.5032328090838636</v>
      </c>
      <c r="O7">
        <f>1/(B7)^M2</f>
        <v>0.90064656181677272</v>
      </c>
      <c r="P7">
        <f>-(M2*A7)/(B7^(M2-1))</f>
        <v>-3.101524377991288</v>
      </c>
      <c r="Q7">
        <f t="shared" si="0"/>
        <v>8.1116422931237393E-3</v>
      </c>
      <c r="R7">
        <f t="shared" si="1"/>
        <v>0.60121584170464037</v>
      </c>
      <c r="S7">
        <f t="shared" si="2"/>
        <v>0.60932748399776415</v>
      </c>
      <c r="T7">
        <f t="shared" si="3"/>
        <v>0.7805943146076354</v>
      </c>
    </row>
    <row r="8" spans="1:20" ht="16" x14ac:dyDescent="0.2">
      <c r="A8" s="1">
        <v>5.5</v>
      </c>
      <c r="B8">
        <v>1.3</v>
      </c>
      <c r="C8">
        <f t="shared" si="4"/>
        <v>1.7047480922384253</v>
      </c>
      <c r="D8">
        <f t="shared" si="4"/>
        <v>0.26236426446749106</v>
      </c>
      <c r="E8">
        <f>D8-D17</f>
        <v>7.3020610736032776E-2</v>
      </c>
      <c r="F8">
        <f t="shared" si="5"/>
        <v>5.332009592263225E-3</v>
      </c>
      <c r="G8">
        <f t="shared" si="6"/>
        <v>2.9061660579905504</v>
      </c>
      <c r="H8">
        <f t="shared" si="7"/>
        <v>0.44726497932249304</v>
      </c>
      <c r="N8">
        <f>A8/(B8)^M2</f>
        <v>4.7311376206855895</v>
      </c>
      <c r="O8">
        <f>1/(B8)^M2</f>
        <v>0.86020684012465254</v>
      </c>
      <c r="P8">
        <f>-(M2*A8)/(B8^(M2-1))</f>
        <v>-3.5300307347284834</v>
      </c>
      <c r="Q8">
        <f t="shared" si="0"/>
        <v>7.3995580779723973E-3</v>
      </c>
      <c r="R8">
        <f t="shared" si="1"/>
        <v>0.77881981175798232</v>
      </c>
      <c r="S8">
        <f t="shared" si="2"/>
        <v>0.78621936983595475</v>
      </c>
      <c r="T8">
        <f t="shared" si="3"/>
        <v>0.88669012052461416</v>
      </c>
    </row>
    <row r="9" spans="1:20" ht="16" x14ac:dyDescent="0.2">
      <c r="A9" s="1">
        <v>6</v>
      </c>
      <c r="B9">
        <v>1.4</v>
      </c>
      <c r="C9">
        <f t="shared" si="4"/>
        <v>1.791759469228055</v>
      </c>
      <c r="D9">
        <f t="shared" si="4"/>
        <v>0.33647223662121289</v>
      </c>
      <c r="E9">
        <f>D9-D17</f>
        <v>0.14712858288975461</v>
      </c>
      <c r="F9">
        <f t="shared" si="5"/>
        <v>2.1646819903147395E-2</v>
      </c>
      <c r="G9">
        <f t="shared" si="6"/>
        <v>3.2104019955684011</v>
      </c>
      <c r="H9">
        <f t="shared" si="7"/>
        <v>0.60287731609840089</v>
      </c>
      <c r="K9">
        <f>L6/L7</f>
        <v>-0.67626127911921519</v>
      </c>
      <c r="N9">
        <f>A9/(B9)^M2</f>
        <v>4.9463168708811862</v>
      </c>
      <c r="O9">
        <f>1/(B9)^M2</f>
        <v>0.82438614514686437</v>
      </c>
      <c r="P9">
        <f>-(M2*A9)/(B9^(M2-1))</f>
        <v>-3.9744727490560297</v>
      </c>
      <c r="Q9">
        <f t="shared" si="0"/>
        <v>6.7961251631010701E-3</v>
      </c>
      <c r="R9">
        <f t="shared" si="1"/>
        <v>0.98727710206181207</v>
      </c>
      <c r="S9">
        <f t="shared" si="2"/>
        <v>0.99407322722491309</v>
      </c>
      <c r="T9">
        <f t="shared" si="3"/>
        <v>0.99703220972289208</v>
      </c>
    </row>
    <row r="10" spans="1:20" ht="16" x14ac:dyDescent="0.2">
      <c r="A10" s="1">
        <v>6.5</v>
      </c>
      <c r="B10">
        <v>1.5</v>
      </c>
      <c r="C10">
        <f t="shared" si="4"/>
        <v>1.8718021769015913</v>
      </c>
      <c r="D10">
        <f t="shared" si="4"/>
        <v>0.40546510810816438</v>
      </c>
      <c r="E10">
        <f>D10-D17</f>
        <v>0.2161214543767061</v>
      </c>
      <c r="F10">
        <f t="shared" si="5"/>
        <v>4.6708483041902657E-2</v>
      </c>
      <c r="G10">
        <f t="shared" si="6"/>
        <v>3.5036433894535364</v>
      </c>
      <c r="H10">
        <f t="shared" si="7"/>
        <v>0.75895047201450117</v>
      </c>
      <c r="N10">
        <f>A10/(B10)^M2</f>
        <v>5.1504695906050131</v>
      </c>
      <c r="O10">
        <f>1/(B10)^M2</f>
        <v>0.79237993701615583</v>
      </c>
      <c r="P10">
        <f>-(M2*A10)/(B10^(M2-1))</f>
        <v>-4.4341220159496002</v>
      </c>
      <c r="Q10">
        <f t="shared" si="0"/>
        <v>6.278659645857272E-3</v>
      </c>
      <c r="R10">
        <f t="shared" si="1"/>
        <v>1.2288398782705592</v>
      </c>
      <c r="S10">
        <f t="shared" si="2"/>
        <v>1.2351185379164165</v>
      </c>
      <c r="T10">
        <f t="shared" si="3"/>
        <v>1.1113588699949339</v>
      </c>
    </row>
    <row r="11" spans="1:20" ht="16" x14ac:dyDescent="0.2">
      <c r="A11" s="1">
        <v>7</v>
      </c>
      <c r="B11">
        <v>1.6</v>
      </c>
      <c r="C11">
        <f t="shared" si="4"/>
        <v>1.9459101490553132</v>
      </c>
      <c r="D11">
        <f>LN(B11)</f>
        <v>0.47000362924573563</v>
      </c>
      <c r="E11">
        <f>D11-D17</f>
        <v>0.28065997551427735</v>
      </c>
      <c r="F11">
        <f t="shared" si="5"/>
        <v>7.8770021855674763E-2</v>
      </c>
      <c r="G11">
        <f t="shared" si="6"/>
        <v>3.7865663081964716</v>
      </c>
      <c r="H11">
        <f t="shared" si="7"/>
        <v>0.91458483224210763</v>
      </c>
      <c r="N11">
        <f>A11/(B11)^M2</f>
        <v>5.3449616285903563</v>
      </c>
      <c r="O11">
        <f>1/(B11)^M2</f>
        <v>0.7635659469414795</v>
      </c>
      <c r="P11">
        <f>-(M2*A11)/(B11^(M2-1))</f>
        <v>-4.9083342251551745</v>
      </c>
      <c r="Q11">
        <f t="shared" si="0"/>
        <v>5.830329553286385E-3</v>
      </c>
      <c r="R11">
        <f t="shared" si="1"/>
        <v>1.5057340541143529</v>
      </c>
      <c r="S11">
        <f t="shared" si="2"/>
        <v>1.5115643836676393</v>
      </c>
      <c r="T11">
        <f t="shared" si="3"/>
        <v>1.2294569466506906</v>
      </c>
    </row>
    <row r="12" spans="1:20" ht="16" x14ac:dyDescent="0.2">
      <c r="A12" s="1"/>
      <c r="B12" s="1"/>
    </row>
    <row r="13" spans="1:20" ht="16" x14ac:dyDescent="0.2">
      <c r="A13" s="1"/>
      <c r="B13" s="1"/>
    </row>
    <row r="14" spans="1:20" ht="16" x14ac:dyDescent="0.2">
      <c r="A14" s="1"/>
      <c r="B14" s="1"/>
    </row>
    <row r="15" spans="1:20" ht="16" x14ac:dyDescent="0.2">
      <c r="A15" s="1"/>
      <c r="B15" s="1"/>
    </row>
    <row r="16" spans="1:20" x14ac:dyDescent="0.2">
      <c r="B16" t="s">
        <v>7</v>
      </c>
      <c r="C16" s="2">
        <f>C2+C3+C4+C5+C6+C7+C8+C9+C10+C11</f>
        <v>15.081695546791284</v>
      </c>
      <c r="D16" s="2">
        <f>D2+D3+D4+D5+D6+D7+D8+D9+D10+D11</f>
        <v>1.8934365373145829</v>
      </c>
      <c r="F16" s="2">
        <f>F2+F3+F4+F5+F6+F7+F8+F9+F10+F11</f>
        <v>0.36744427168275734</v>
      </c>
      <c r="G16" s="2">
        <f>G2+G3+G4+G5+G6+G7+G8+G9+G10+G11</f>
        <v>23.797081737719679</v>
      </c>
      <c r="H16" s="2">
        <f>H2+H3+H4+H5+H6+H7+H8+H9+H10+H11</f>
        <v>3.4590265998814065</v>
      </c>
      <c r="P16" t="s">
        <v>10</v>
      </c>
      <c r="Q16">
        <f>_xlfn.STDEV.S(D2:D11)</f>
        <v>0.20205727232169635</v>
      </c>
    </row>
    <row r="17" spans="2:20" x14ac:dyDescent="0.2">
      <c r="B17" t="s">
        <v>12</v>
      </c>
      <c r="C17">
        <f>C16/10</f>
        <v>1.5081695546791285</v>
      </c>
      <c r="D17">
        <f>D16/10</f>
        <v>0.18934365373145828</v>
      </c>
      <c r="E17" t="s">
        <v>10</v>
      </c>
      <c r="F17">
        <f>SQRT(F16/10)</f>
        <v>0.19168835950123767</v>
      </c>
      <c r="I17">
        <f>G19-F17</f>
        <v>-0.19168835950123767</v>
      </c>
      <c r="J17">
        <f>B2+F17</f>
        <v>0.99168835950123768</v>
      </c>
      <c r="O17" t="s">
        <v>7</v>
      </c>
      <c r="P17">
        <f>C2+Q16</f>
        <v>1.1183480041958513</v>
      </c>
      <c r="Q17">
        <f>C11+Q16</f>
        <v>2.1479674213770097</v>
      </c>
    </row>
    <row r="18" spans="2:20" x14ac:dyDescent="0.2">
      <c r="I18">
        <f>B11-F17</f>
        <v>1.4083116404987623</v>
      </c>
      <c r="J18">
        <f>B11+F17</f>
        <v>1.7916883595012378</v>
      </c>
      <c r="O18" t="s">
        <v>11</v>
      </c>
      <c r="P18">
        <f>C2-P17</f>
        <v>-0.20205727232169624</v>
      </c>
      <c r="Q18">
        <f>C11-Q16</f>
        <v>1.7438528767336168</v>
      </c>
    </row>
    <row r="20" spans="2:20" x14ac:dyDescent="0.2">
      <c r="L20" t="s">
        <v>18</v>
      </c>
    </row>
    <row r="21" spans="2:20" x14ac:dyDescent="0.2">
      <c r="O21">
        <f t="shared" ref="O21:O30" si="8">N2/S2</f>
        <v>23.81597425416081</v>
      </c>
      <c r="R21">
        <f t="shared" ref="R21:R30" si="9">1/S2</f>
        <v>8.3812234363825873</v>
      </c>
      <c r="T21">
        <f>P35/S35</f>
        <v>3.6259414824246385</v>
      </c>
    </row>
    <row r="22" spans="2:20" x14ac:dyDescent="0.2">
      <c r="O22">
        <f t="shared" si="8"/>
        <v>15.361445755121279</v>
      </c>
      <c r="R22">
        <f t="shared" si="9"/>
        <v>5.12048191837376</v>
      </c>
    </row>
    <row r="23" spans="2:20" x14ac:dyDescent="0.2">
      <c r="O23">
        <f t="shared" si="8"/>
        <v>11.729553292354527</v>
      </c>
      <c r="R23">
        <f t="shared" si="9"/>
        <v>3.5397330721584983</v>
      </c>
    </row>
    <row r="24" spans="2:20" x14ac:dyDescent="0.2">
      <c r="O24">
        <f t="shared" si="8"/>
        <v>9.1694577503224615</v>
      </c>
      <c r="R24">
        <f t="shared" si="9"/>
        <v>2.5452430895383507</v>
      </c>
    </row>
    <row r="25" spans="2:20" x14ac:dyDescent="0.2">
      <c r="O25">
        <f t="shared" si="8"/>
        <v>8.1861005690997288</v>
      </c>
      <c r="R25">
        <f t="shared" si="9"/>
        <v>2.0198083653707699</v>
      </c>
    </row>
    <row r="26" spans="2:20" x14ac:dyDescent="0.2">
      <c r="O26">
        <f t="shared" si="8"/>
        <v>7.3904967810386637</v>
      </c>
      <c r="R26">
        <f t="shared" si="9"/>
        <v>1.641153609942317</v>
      </c>
    </row>
    <row r="27" spans="2:20" x14ac:dyDescent="0.2">
      <c r="O27">
        <f t="shared" si="8"/>
        <v>6.0175795740986961</v>
      </c>
      <c r="R27">
        <f t="shared" si="9"/>
        <v>1.2719096455339822</v>
      </c>
    </row>
    <row r="28" spans="2:20" x14ac:dyDescent="0.2">
      <c r="O28">
        <f t="shared" si="8"/>
        <v>4.9758073504197311</v>
      </c>
      <c r="R28">
        <f t="shared" si="9"/>
        <v>1.0059621088394386</v>
      </c>
    </row>
    <row r="29" spans="2:20" x14ac:dyDescent="0.2">
      <c r="O29">
        <f t="shared" si="8"/>
        <v>4.1700204737381714</v>
      </c>
      <c r="R29">
        <f t="shared" si="9"/>
        <v>0.80963888833451592</v>
      </c>
    </row>
    <row r="30" spans="2:20" x14ac:dyDescent="0.2">
      <c r="O30">
        <f t="shared" si="8"/>
        <v>3.536046288429616</v>
      </c>
      <c r="R30">
        <f t="shared" si="9"/>
        <v>0.6615662626117278</v>
      </c>
    </row>
    <row r="34" spans="15:19" x14ac:dyDescent="0.2">
      <c r="P34">
        <f>N11/S11</f>
        <v>3.536046288429616</v>
      </c>
      <c r="S34">
        <f>1/S11</f>
        <v>0.6615662626117278</v>
      </c>
    </row>
    <row r="35" spans="15:19" x14ac:dyDescent="0.2">
      <c r="O35" t="s">
        <v>9</v>
      </c>
      <c r="P35">
        <f>O21+O22+O23+O24+O25+O26+O27+O28+O29+O30+O31+O32+O33+P34</f>
        <v>97.888528377213291</v>
      </c>
      <c r="S35">
        <f>R21+R22+R23+R24+R25+R26+R27+R28+R29+R30</f>
        <v>26.996720397085944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HUDAN AL BIRRA</cp:lastModifiedBy>
  <dcterms:created xsi:type="dcterms:W3CDTF">2021-03-22T14:21:51Z</dcterms:created>
  <dcterms:modified xsi:type="dcterms:W3CDTF">2025-09-23T16:40:31Z</dcterms:modified>
</cp:coreProperties>
</file>